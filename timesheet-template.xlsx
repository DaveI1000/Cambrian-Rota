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f31e4a0c3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heet" sheetId="1" r:id="R3f9ff08da8584cc5"/>
  </x:sheets>
  <x:definedNames>
    <x:definedName name="Amended">Timesheet!$AI$4</x:definedName>
    <x:definedName name="Amended_Check">Timesheet!$BQ$5</x:definedName>
    <x:definedName name="Clock_12_Hour">IF(Timesheet!XFD1="","",IF(Timesheet!XFD1=0,Range_1_9,Range_0_2))</x:definedName>
    <x:definedName name="Clock_12_Hour_Minute">IF(OR(Timesheet!$L1="",Timesheet!$M1=""),"",IF(AND(Timesheet!$L1=1,Timesheet!$M1=2),Range_0,Range_0_5))</x:definedName>
    <x:definedName name="Clock_12_Hour_Minute_1">IF(OR(Timesheet!$L1="",Timesheet!$M1="",Timesheet!$N1=""),"",IF(AND(Timesheet!$L1=1,Timesheet!$M1=2),Range_0,Range_0_9))</x:definedName>
    <x:definedName name="Clock_24_Hour">IF(Timesheet!XFD1="","",IF(Timesheet!XFD1=2,Range_0_3,Range_0_9))</x:definedName>
    <x:definedName name="Clock_24_Hour_Minute">IF(OR(Timesheet!XFC1="",Timesheet!XFD1=""),"",Range_0_5)</x:definedName>
    <x:definedName name="Clock_24_Hour_Minute_1">IF(OR(Timesheet!XFC1="",Timesheet!XFD1=""),"",Range_0_9)</x:definedName>
    <x:definedName name="Cost_Centre">Timesheet!$AL$6:$AR$6</x:definedName>
    <x:definedName name="Cost_Centre_Check">Timesheet!$BQ$8</x:definedName>
    <x:definedName name="Current">Timesheet!$AD$4</x:definedName>
    <x:definedName name="Current_Check">Timesheet!$BQ$4</x:definedName>
    <x:definedName name="Day">IF(Timesheet!$BA$6="","",IF(Timesheet!$BA$6=0,Range_1_9,IF(Timesheet!$BA$6=3,Range_0_1,Range_0_9)))</x:definedName>
    <x:definedName name="Employee_Sign">Timesheet!$G$35</x:definedName>
    <x:definedName name="Employee_Sign_Check">Timesheet!$BQ$10</x:definedName>
    <x:definedName name="Manager_Sign">Timesheet!$Z$35</x:definedName>
    <x:definedName name="Manager_Sign_Check">Timesheet!$BQ$11</x:definedName>
    <x:definedName name="Month">IF(Timesheet!$BC$6="","",IF(Timesheet!$BC$6=0,Range_1_9,Range_0_2))</x:definedName>
    <x:definedName name="On_Call">Timesheet!$AN$12:$AO$32</x:definedName>
    <x:definedName name="Payroll_Number">Timesheet!$AA$6:$AF$6</x:definedName>
    <x:definedName name="Payroll_Number_Check">Timesheet!$BQ$7</x:definedName>
    <x:definedName name="Range_0">Timesheet!$BZ$4</x:definedName>
    <x:definedName name="Range_0_1">Timesheet!$CA$4:$CA$5</x:definedName>
    <x:definedName name="Range_0_2">Timesheet!$CB$4:$CB$6</x:definedName>
    <x:definedName name="Range_0_3">Timesheet!$CC$4:$CC$7</x:definedName>
    <x:definedName name="Range_0_5">Timesheet!$CD$4:$CD$9</x:definedName>
    <x:definedName name="Range_0_9">Timesheet!$CF$4:$CF$13</x:definedName>
    <x:definedName name="Range_1_9">Timesheet!$CE$4:$CE$12</x:definedName>
    <x:definedName name="Range_Alpha">Timesheet!$CG$4:$CG$29</x:definedName>
    <x:definedName name="Status_Codes">Timesheet!#REF!</x:definedName>
    <x:definedName name="Surname">Timesheet!$G$6:$U$6</x:definedName>
    <x:definedName name="Surname_Check">Timesheet!$BQ$12</x:definedName>
    <x:definedName name="Total_Claimed">IF(Timesheet!XFD1="","",Range_0_9)</x:definedName>
    <x:definedName name="Total_Hours">IF(Appropriation!XFD1="","",IF(Appropriation!XFD1=0,Range_1_9,Range_0_9))</x:definedName>
    <x:definedName name="Total_Minutes">IF(Appropriation!XFD1="","",Range_0_9)</x:definedName>
    <x:definedName name="Week_Ending">Timesheet!$BA$6:$BF$6</x:definedName>
    <x:definedName name="Week_Ending_Check">Timesheet!$BQ$9</x:definedName>
    <x:definedName name="Week_Number">Timesheet!$BA$4:$BB$4</x:definedName>
    <x:definedName name="Week_Number_Check">Timesheet!$BQ$6</x:definedName>
    <x:definedName name="Week_Number_Valid">IF(Timesheet!$BA$4="","",IF(Timesheet!$BA$4=0,Range_1_9,IF(Timesheet!$BA$4=5,Range_0_2,Range_0_9)))</x:definedName>
    <x:definedName name="Year">IF(Timesheet!$BE$6="","",IF(Timesheet!$BE$6=0,Range_1_9,Range_0_9))</x:definedName>
  </x:definedNames>
</x:workbook>
</file>

<file path=xl/comments1.xml><?xml version="1.0" encoding="utf-8"?>
<x:comments xmlns:x="http://schemas.openxmlformats.org/spreadsheetml/2006/main">
  <x:authors>
    <x:author>RMaguire</x:author>
  </x:authors>
  <x:commentList>
    <x:comment ref="L12" authorId="0">
      <x:text>
        <x:r>
          <x:t>Insert colon : when entering time e.g. 07:00
</x:t>
        </x:r>
      </x:text>
    </x:comment>
    <x:comment ref="R12" authorId="0">
      <x:text>
        <x:r>
          <x:t>Insert colon : when entering time e.g. 07:00
</x:t>
        </x:r>
      </x:text>
    </x:comment>
    <x:comment ref="V12" authorId="0">
      <x:text>
        <x:r>
          <x:t>Insert colon when entering time e.g. 07:00
</x:t>
        </x:r>
      </x:text>
    </x:comment>
    <x:comment ref="Z12" authorId="0">
      <x:text>
        <x:r>
          <x:t>Insert colon : when entering time e.g. 07:00
</x:t>
        </x:r>
      </x:text>
    </x:comment>
    <x:comment ref="AD12" authorId="0">
      <x:text>
        <x:r>
          <x:t>Insert colon : when entering time e.g. 07:00
</x:t>
        </x:r>
      </x:text>
    </x:comment>
    <x:comment ref="L13" authorId="0">
      <x:text>
        <x:r>
          <x:t>Insert colon : when entering time e.g. 07:00
</x:t>
        </x:r>
      </x:text>
    </x:comment>
    <x:comment ref="R13" authorId="0">
      <x:text>
        <x:r>
          <x:t>Insert colon : when entering time e.g. 07:00</x:t>
        </x:r>
      </x:text>
    </x:comment>
    <x:comment ref="V13" authorId="0">
      <x:text>
        <x:r>
          <x:t>Insert colon : when entering time e.g. 07:00
</x:t>
        </x:r>
      </x:text>
    </x:comment>
    <x:comment ref="Z13" authorId="0">
      <x:text>
        <x:r>
          <x:t>Insert colon : when entering time e.g. 07:00
</x:t>
        </x:r>
      </x:text>
    </x:comment>
    <x:comment ref="AD13" authorId="0">
      <x:text>
        <x:r>
          <x:t>Insert colon : when entering time e.g. 07:00
</x:t>
        </x:r>
      </x:text>
    </x:comment>
    <x:comment ref="L14" authorId="0">
      <x:text>
        <x:r>
          <x:t>Insert colon : when entering time e.g. 07:00
</x:t>
        </x:r>
      </x:text>
    </x:comment>
    <x:comment ref="R14" authorId="0">
      <x:text>
        <x:r>
          <x:t>Insert colon when entering time e.g. 07:00
</x:t>
        </x:r>
      </x:text>
    </x:comment>
    <x:comment ref="V14" authorId="0">
      <x:text>
        <x:r>
          <x:t>Insert colon when entering time e.g. 07:00
</x:t>
        </x:r>
      </x:text>
    </x:comment>
    <x:comment ref="Z14" authorId="0">
      <x:text>
        <x:r>
          <x:t>Insert colon : when entering time e.g. 07:00
</x:t>
        </x:r>
      </x:text>
    </x:comment>
    <x:comment ref="AD14" authorId="0">
      <x:text>
        <x:r>
          <x:t>Insert colon : when entering time e.g. 07:00
</x:t>
        </x:r>
      </x:text>
    </x:comment>
    <x:comment ref="L15" authorId="0">
      <x:text>
        <x:r>
          <x:t>Insert colon : when entering time e.g. 07:00
</x:t>
        </x:r>
      </x:text>
    </x:comment>
    <x:comment ref="R15" authorId="0">
      <x:text>
        <x:r>
          <x:t>Insert colon : when entering time e.g. 07:00
</x:t>
        </x:r>
      </x:text>
    </x:comment>
    <x:comment ref="V15" authorId="0">
      <x:text>
        <x:r>
          <x:t>Insert colon when entering time e.g. 07:00
</x:t>
        </x:r>
      </x:text>
    </x:comment>
    <x:comment ref="Z15" authorId="0">
      <x:text>
        <x:r>
          <x:t>Insert colon : when entering time e.g. 07:00
</x:t>
        </x:r>
      </x:text>
    </x:comment>
    <x:comment ref="AD15" authorId="0">
      <x:text>
        <x:r>
          <x:t>Insert colon : when entering time e.g. 07:00
</x:t>
        </x:r>
      </x:text>
    </x:comment>
    <x:comment ref="L16" authorId="0">
      <x:text>
        <x:r>
          <x:t>Insert colon : when entering time e.g. 07:00
</x:t>
        </x:r>
      </x:text>
    </x:comment>
    <x:comment ref="R16" authorId="0">
      <x:text>
        <x:r>
          <x:t>Insert colon when entering time e.g. 07:00
</x:t>
        </x:r>
      </x:text>
    </x:comment>
    <x:comment ref="V16" authorId="0">
      <x:text>
        <x:r>
          <x:t>Insert colon when entering time e.g. 07:00
</x:t>
        </x:r>
      </x:text>
    </x:comment>
    <x:comment ref="Z16" authorId="0">
      <x:text>
        <x:r>
          <x:t>Insert colon : when entering time e.g. 07:00
</x:t>
        </x:r>
      </x:text>
    </x:comment>
    <x:comment ref="AD16" authorId="0">
      <x:text>
        <x:r>
          <x:t>Insert colon : when entering time e.g. 07:00
</x:t>
        </x:r>
      </x:text>
    </x:comment>
    <x:comment ref="L17" authorId="0">
      <x:text>
        <x:r>
          <x:t>Insert colon : when entering time e.g. 07:00
</x:t>
        </x:r>
      </x:text>
    </x:comment>
    <x:comment ref="R17" authorId="0">
      <x:text>
        <x:r>
          <x:t>Insert colon when entering time e.g. 07:00
</x:t>
        </x:r>
      </x:text>
    </x:comment>
    <x:comment ref="V17" authorId="0">
      <x:text>
        <x:r>
          <x:t>Insert colon when entering time e.g. 07:00
</x:t>
        </x:r>
      </x:text>
    </x:comment>
    <x:comment ref="Z17" authorId="0">
      <x:text>
        <x:r>
          <x:t>Insert colon : when entering time e.g. 07:00
</x:t>
        </x:r>
      </x:text>
    </x:comment>
    <x:comment ref="AD17" authorId="0">
      <x:text>
        <x:r>
          <x:t>Insert colon : when entering time e.g. 07:00
</x:t>
        </x:r>
      </x:text>
    </x:comment>
    <x:comment ref="L18" authorId="0">
      <x:text>
        <x:r>
          <x:t>Insert colon : when entering time e.g. 07:00
</x:t>
        </x:r>
      </x:text>
    </x:comment>
    <x:comment ref="R18" authorId="0">
      <x:text>
        <x:r>
          <x:t>Insert colon : when entering time e.g. 07:00
</x:t>
        </x:r>
      </x:text>
    </x:comment>
    <x:comment ref="V18" authorId="0">
      <x:text>
        <x:r>
          <x:t>Insert colon when entering time e.g. 07:00
</x:t>
        </x:r>
      </x:text>
    </x:comment>
    <x:comment ref="Z18" authorId="0">
      <x:text>
        <x:r>
          <x:t>Insert colon : when entering time e.g. 07:00
</x:t>
        </x:r>
      </x:text>
    </x:comment>
    <x:comment ref="AD18" authorId="0">
      <x:text>
        <x:r>
          <x:t>Insert colon : when entering time e.g. 07:00
</x:t>
        </x:r>
      </x:text>
    </x:comment>
    <x:comment ref="L19" authorId="0">
      <x:text>
        <x:r>
          <x:t>Insert colon when entering time e.g. 07:00
</x:t>
        </x:r>
      </x:text>
    </x:comment>
    <x:comment ref="R19" authorId="0">
      <x:text>
        <x:r>
          <x:t>Insert colon when entering time e.g. 07:00
</x:t>
        </x:r>
      </x:text>
    </x:comment>
    <x:comment ref="V19" authorId="0">
      <x:text>
        <x:r>
          <x:t>Insert colon when entering time e.g. 07:00
</x:t>
        </x:r>
      </x:text>
    </x:comment>
    <x:comment ref="Z19" authorId="0">
      <x:text>
        <x:r>
          <x:t>Insert colon : when entering time e.g. 07:00
</x:t>
        </x:r>
      </x:text>
    </x:comment>
    <x:comment ref="AD19" authorId="0">
      <x:text>
        <x:r>
          <x:t>Insert colon : when entering time e.g. 07:00
</x:t>
        </x:r>
      </x:text>
    </x:comment>
    <x:comment ref="L20" authorId="0">
      <x:text>
        <x:r>
          <x:t>Insert colon when entering time e.g. 07:00
</x:t>
        </x:r>
      </x:text>
    </x:comment>
    <x:comment ref="R20" authorId="0">
      <x:text>
        <x:r>
          <x:t>Insert colon when entering time e.g. 07:00
</x:t>
        </x:r>
      </x:text>
    </x:comment>
    <x:comment ref="V20" authorId="0">
      <x:text>
        <x:r>
          <x:t>Insert colon when entering time e.g. 07:00
</x:t>
        </x:r>
      </x:text>
    </x:comment>
    <x:comment ref="Z20" authorId="0">
      <x:text>
        <x:r>
          <x:t>Insert colon : when entering time e.g. 07:00
</x:t>
        </x:r>
      </x:text>
    </x:comment>
    <x:comment ref="AD20" authorId="0">
      <x:text>
        <x:r>
          <x:t>Insert colon : when entering time e.g. 07:00
</x:t>
        </x:r>
      </x:text>
    </x:comment>
    <x:comment ref="L21" authorId="0">
      <x:text>
        <x:r>
          <x:t>Insert colon : when entering time e.g. 07:00
</x:t>
        </x:r>
      </x:text>
    </x:comment>
    <x:comment ref="R21" authorId="0">
      <x:text>
        <x:r>
          <x:t>Insert colon : when entering time e.g. 07:00
</x:t>
        </x:r>
      </x:text>
    </x:comment>
    <x:comment ref="V21" authorId="0">
      <x:text>
        <x:r>
          <x:t>Insert colon when entering time e.g. 07:00
</x:t>
        </x:r>
      </x:text>
    </x:comment>
    <x:comment ref="Z21" authorId="0">
      <x:text>
        <x:r>
          <x:t>Insert colon : when entering time e.g. 07:00
</x:t>
        </x:r>
      </x:text>
    </x:comment>
    <x:comment ref="AD21" authorId="0">
      <x:text>
        <x:r>
          <x:t>Insert colon : when entering time e.g. 07:00
</x:t>
        </x:r>
      </x:text>
    </x:comment>
    <x:comment ref="L22" authorId="0">
      <x:text>
        <x:r>
          <x:t>Insert colon : when entering time e.g. 07:00
</x:t>
        </x:r>
      </x:text>
    </x:comment>
    <x:comment ref="R22" authorId="0">
      <x:text>
        <x:r>
          <x:t>Insert colon : when entering time e.g. 07:00
</x:t>
        </x:r>
      </x:text>
    </x:comment>
    <x:comment ref="V22" authorId="0">
      <x:text>
        <x:r>
          <x:t>Insert colon when entering time e.g. 07:00
</x:t>
        </x:r>
      </x:text>
    </x:comment>
    <x:comment ref="Z22" authorId="0">
      <x:text>
        <x:r>
          <x:t>Insert colon : when entering time e.g. 07:00
</x:t>
        </x:r>
      </x:text>
    </x:comment>
    <x:comment ref="AD22" authorId="0">
      <x:text>
        <x:r>
          <x:t>Insert colon : when entering time e.g. 07:00
</x:t>
        </x:r>
      </x:text>
    </x:comment>
    <x:comment ref="L23" authorId="0">
      <x:text>
        <x:r>
          <x:t>Insert colon : when entering time e.g. 07:00
</x:t>
        </x:r>
      </x:text>
    </x:comment>
    <x:comment ref="R23" authorId="0">
      <x:text>
        <x:r>
          <x:t>Insert colon : when entering time e.g. 07:00
</x:t>
        </x:r>
      </x:text>
    </x:comment>
    <x:comment ref="V23" authorId="0">
      <x:text>
        <x:r>
          <x:t>Insert colon when entering time e.g. 07:00
</x:t>
        </x:r>
      </x:text>
    </x:comment>
    <x:comment ref="Z23" authorId="0">
      <x:text>
        <x:r>
          <x:t>Insert colon : when entering time e.g. 07:00
</x:t>
        </x:r>
      </x:text>
    </x:comment>
    <x:comment ref="AD23" authorId="0">
      <x:text>
        <x:r>
          <x:t>Insert colon : when entering time e.g. 07:00
</x:t>
        </x:r>
      </x:text>
    </x:comment>
    <x:comment ref="L24" authorId="0">
      <x:text>
        <x:r>
          <x:t>Insert colon : when entering time e.g. 07:00
</x:t>
        </x:r>
      </x:text>
    </x:comment>
    <x:comment ref="R24" authorId="0">
      <x:text>
        <x:r>
          <x:t>Insert colon : when entering time e.g. 07:00
</x:t>
        </x:r>
      </x:text>
    </x:comment>
    <x:comment ref="V24" authorId="0">
      <x:text>
        <x:r>
          <x:t>Insert colon when entering time e.g. 07:00
</x:t>
        </x:r>
      </x:text>
    </x:comment>
    <x:comment ref="Z24" authorId="0">
      <x:text>
        <x:r>
          <x:t>Insert colon : when entering time e.g. 07:00
</x:t>
        </x:r>
      </x:text>
    </x:comment>
    <x:comment ref="AD24" authorId="0">
      <x:text>
        <x:r>
          <x:t>Insert colon : when entering time e.g. 07:00
</x:t>
        </x:r>
      </x:text>
    </x:comment>
    <x:comment ref="L25" authorId="0">
      <x:text>
        <x:r>
          <x:t>Insert colon when entering time e.g. 07:00
</x:t>
        </x:r>
      </x:text>
    </x:comment>
    <x:comment ref="R25" authorId="0">
      <x:text>
        <x:r>
          <x:t>Insert colon : when entering time e.g. 07:00
</x:t>
        </x:r>
      </x:text>
    </x:comment>
    <x:comment ref="V25" authorId="0">
      <x:text>
        <x:r>
          <x:t>Insert colon when entering time e.g. 07:00
</x:t>
        </x:r>
      </x:text>
    </x:comment>
    <x:comment ref="Z25" authorId="0">
      <x:text>
        <x:r>
          <x:t>Insert colon : when entering time e.g. 07:00
</x:t>
        </x:r>
      </x:text>
    </x:comment>
    <x:comment ref="AD25" authorId="0">
      <x:text>
        <x:r>
          <x:t>Insert colon : when entering time e.g. 07:00
</x:t>
        </x:r>
      </x:text>
    </x:comment>
    <x:comment ref="L26" authorId="0">
      <x:text>
        <x:r>
          <x:t>Insert colon when entering time e.g. 07:00
</x:t>
        </x:r>
      </x:text>
    </x:comment>
    <x:comment ref="R26" authorId="0">
      <x:text>
        <x:r>
          <x:t>Insert colon : when entering time e.g. 07:00
</x:t>
        </x:r>
      </x:text>
    </x:comment>
    <x:comment ref="V26" authorId="0">
      <x:text>
        <x:r>
          <x:t>Insert colon when entering time e.g. 07:00
</x:t>
        </x:r>
      </x:text>
    </x:comment>
    <x:comment ref="Z26" authorId="0">
      <x:text>
        <x:r>
          <x:t>Insert colon : when entering time e.g. 07:00
</x:t>
        </x:r>
      </x:text>
    </x:comment>
    <x:comment ref="AD26" authorId="0">
      <x:text>
        <x:r>
          <x:t>Insert colon : when entering time e.g. 07:00
</x:t>
        </x:r>
      </x:text>
    </x:comment>
    <x:comment ref="L27" authorId="0">
      <x:text>
        <x:r>
          <x:t>Insert colon : when entering time e.g. 07:00
</x:t>
        </x:r>
      </x:text>
    </x:comment>
    <x:comment ref="R27" authorId="0">
      <x:text>
        <x:r>
          <x:t>Insert colon : when entering time e.g. 07:00
</x:t>
        </x:r>
      </x:text>
    </x:comment>
    <x:comment ref="V27" authorId="0">
      <x:text>
        <x:r>
          <x:t>Insert colon when entering time e.g. 07:00
</x:t>
        </x:r>
      </x:text>
    </x:comment>
    <x:comment ref="Z27" authorId="0">
      <x:text>
        <x:r>
          <x:t>Insert colon : when entering time e.g. 07:00
</x:t>
        </x:r>
      </x:text>
    </x:comment>
    <x:comment ref="AD27" authorId="0">
      <x:text>
        <x:r>
          <x:t>Insert colon : when entering time e.g. 07:00
</x:t>
        </x:r>
      </x:text>
    </x:comment>
    <x:comment ref="L28" authorId="0">
      <x:text>
        <x:r>
          <x:t>Insert colon : when entering time e.g. 07:00
</x:t>
        </x:r>
      </x:text>
    </x:comment>
    <x:comment ref="R28" authorId="0">
      <x:text>
        <x:r>
          <x:t>Insert colon : when entering time e.g. 07:00
</x:t>
        </x:r>
      </x:text>
    </x:comment>
    <x:comment ref="V28" authorId="0">
      <x:text>
        <x:r>
          <x:t>Insert colon when entering time e.g. 07:00
</x:t>
        </x:r>
      </x:text>
    </x:comment>
    <x:comment ref="Z28" authorId="0">
      <x:text>
        <x:r>
          <x:t>Insert colon : when entering time e.g. 07:00
</x:t>
        </x:r>
      </x:text>
    </x:comment>
    <x:comment ref="AD28" authorId="0">
      <x:text>
        <x:r>
          <x:t>Insert colon : when entering time e.g. 07:00
</x:t>
        </x:r>
      </x:text>
    </x:comment>
    <x:comment ref="L29" authorId="0">
      <x:text>
        <x:r>
          <x:t>Insert colon : when entering time e.g. 07:00
</x:t>
        </x:r>
      </x:text>
    </x:comment>
    <x:comment ref="R29" authorId="0">
      <x:text>
        <x:r>
          <x:t>Insert colon : when entering time e.g. 07:00
</x:t>
        </x:r>
      </x:text>
    </x:comment>
    <x:comment ref="V29" authorId="0">
      <x:text>
        <x:r>
          <x:t>Insert colon when entering time e.g. 07:00
</x:t>
        </x:r>
      </x:text>
    </x:comment>
    <x:comment ref="Z29" authorId="0">
      <x:text>
        <x:r>
          <x:t>Insert colon : when entering time e.g. 07:00
</x:t>
        </x:r>
      </x:text>
    </x:comment>
    <x:comment ref="AD29" authorId="0">
      <x:text>
        <x:r>
          <x:t>Insert colon : when entering time e.g. 07:00
</x:t>
        </x:r>
      </x:text>
    </x:comment>
    <x:comment ref="L30" authorId="0">
      <x:text>
        <x:r>
          <x:t>Insert colon : when entering time e.g. 07:00
</x:t>
        </x:r>
      </x:text>
    </x:comment>
    <x:comment ref="R30" authorId="0">
      <x:text>
        <x:r>
          <x:t>Insert colon : when entering time e.g. 07:00
</x:t>
        </x:r>
      </x:text>
    </x:comment>
    <x:comment ref="V30" authorId="0">
      <x:text>
        <x:r>
          <x:t>Insert colon when entering time e.g. 07:00
</x:t>
        </x:r>
      </x:text>
    </x:comment>
    <x:comment ref="Z30" authorId="0">
      <x:text>
        <x:r>
          <x:t>Insert colon : when entering time e.g. 07:00
</x:t>
        </x:r>
      </x:text>
    </x:comment>
    <x:comment ref="AD30" authorId="0">
      <x:text>
        <x:r>
          <x:t>Insert colon : when entering time e.g. 07:00
</x:t>
        </x:r>
      </x:text>
    </x:comment>
    <x:comment ref="L31" authorId="0">
      <x:text>
        <x:r>
          <x:t>Insert colon : when entering time e.g. 07:00
</x:t>
        </x:r>
      </x:text>
    </x:comment>
    <x:comment ref="R31" authorId="0">
      <x:text>
        <x:r>
          <x:t>Insert colon : when entering time e.g. 07:00
</x:t>
        </x:r>
      </x:text>
    </x:comment>
    <x:comment ref="V31" authorId="0">
      <x:text>
        <x:r>
          <x:t>Insert colon when entering time e.g. 07:00
</x:t>
        </x:r>
      </x:text>
    </x:comment>
    <x:comment ref="Z31" authorId="0">
      <x:text>
        <x:r>
          <x:t>Insert colon : when entering time e.g. 07:00
</x:t>
        </x:r>
      </x:text>
    </x:comment>
    <x:comment ref="AD31" authorId="0">
      <x:text>
        <x:r>
          <x:t>Insert colon : when entering time e.g. 07:00
</x:t>
        </x:r>
      </x:text>
    </x:comment>
    <x:comment ref="L32" authorId="0">
      <x:text>
        <x:r>
          <x:t>Insert colon : when entering time e.g. 07:00
</x:t>
        </x:r>
      </x:text>
    </x:comment>
    <x:comment ref="R32" authorId="0">
      <x:text>
        <x:r>
          <x:t>Insert colon : when entering time e.g. 07:00
</x:t>
        </x:r>
      </x:text>
    </x:comment>
    <x:comment ref="V32" authorId="0">
      <x:text>
        <x:r>
          <x:t>Insert colon when entering time e.g. 07:00
</x:t>
        </x:r>
      </x:text>
    </x:comment>
    <x:comment ref="Z32" authorId="0">
      <x:text>
        <x:r>
          <x:t>Insert colon : when entering time e.g. 07:00
</x:t>
        </x:r>
      </x:text>
    </x:comment>
    <x:comment ref="AD32" authorId="0">
      <x:text>
        <x:r>
          <x:t>Insert colon : when entering time e.g. 07:00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<x:sst xmlns:x="http://schemas.openxmlformats.org/spreadsheetml/2006/main">
  <x:si>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Overtime</x:t>
  </x:si>
  <x:si>
    <x:t xml:space="preserve">Network Rail Timesheet</x:t>
  </x:si>
  <x:si>
    <x:t xml:space="preserve">Undertime</x:t>
  </x:si>
  <x:si>
    <x:t xml:space="preserve">Field Checks</x:t>
  </x:si>
  <x:si>
    <x:t xml:space="preserve">Validation Lists</x:t>
  </x:si>
  <x:si>
    <x:t xml:space="preserve">Range Name</x:t>
  </x:si>
  <x:si>
    <x:t xml:space="preserve">State</x:t>
  </x:si>
  <x:si>
    <x:t xml:space="preserve">Total Cells</x:t>
  </x:si>
  <x:si>
    <x:t xml:space="preserve">Populated Cells</x:t>
  </x:si>
  <x:si>
    <x:t xml:space="preserve">0</x:t>
  </x:si>
  <x:si>
    <x:t xml:space="preserve">0-1</x:t>
  </x:si>
  <x:si>
    <x:t xml:space="preserve">0-2</x:t>
  </x:si>
  <x:si>
    <x:t xml:space="preserve">0-3</x:t>
  </x:si>
  <x:si>
    <x:t xml:space="preserve">0-5</x:t>
  </x:si>
  <x:si>
    <x:t xml:space="preserve">1-9</x:t>
  </x:si>
  <x:si>
    <x:t xml:space="preserve">0-9</x:t>
  </x:si>
  <x:si>
    <x:t xml:space="preserve">Alpha</x:t>
  </x:si>
  <x:si>
    <x:t xml:space="preserve">Timesheet Type
</x:t>
  </x:si>
  <x:si>
    <x:t xml:space="preserve">Current</x:t>
  </x:si>
  <x:si>
    <x:t xml:space="preserve">X</x:t>
  </x:si>
  <x:si>
    <x:t xml:space="preserve">Amended</x:t>
  </x:si>
  <x:si>
    <x:t xml:space="preserve">Week Number</x:t>
  </x:si>
  <x:si>
    <x:t xml:space="preserve">A</x:t>
  </x:si>
  <x:si>
    <x:t xml:space="preserve">B</x:t>
  </x:si>
  <x:si>
    <x:t xml:space="preserve">Name</x:t>
  </x:si>
  <x:si>
    <x:t xml:space="preserve">David Ingleston</x:t>
  </x:si>
  <x:si>
    <x:t xml:space="preserve">Payroll Number</x:t>
  </x:si>
  <x:si>
    <x:t xml:space="preserve">Cost Centre</x:t>
  </x:si>
  <x:si>
    <x:t xml:space="preserve">Thursday Week Ending Date 
(dd mm yy)</x:t>
  </x:si>
  <x:si>
    <x:t xml:space="preserve">Week_Number</x:t>
  </x:si>
  <x:si>
    <x:t xml:space="preserve">C</x:t>
  </x:si>
  <x:si>
    <x:t xml:space="preserve">Enter 1 digit in each cell if entering in Excel</x:t>
  </x:si>
  <x:si>
    <x:t xml:space="preserve">Payroll_Number</x:t>
  </x:si>
  <x:si>
    <x:t xml:space="preserve">D</x:t>
  </x:si>
  <x:si>
    <x:t xml:space="preserve">HGD = Higher Grade Duty
PDTA = Personal Daily Travel Allowance
 RTA = Relocation Travel Allowance</x:t>
  </x:si>
  <x:si>
    <x:t xml:space="preserve">Cost_Centre</x:t>
  </x:si>
  <x:si>
    <x:t xml:space="preserve">E</x:t>
  </x:si>
  <x:si>
    <x:t xml:space="preserve">Week_Ending</x:t>
  </x:si>
  <x:si>
    <x:t xml:space="preserve">F</x:t>
  </x:si>
  <x:si>
    <x:t xml:space="preserve">Most Used Status Codes</x:t>
  </x:si>
  <x:si>
    <x:t xml:space="preserve">Day</x:t>
  </x:si>
  <x:si>
    <x:t xml:space="preserve">Rostered Hours</x:t>
  </x:si>
  <x:si>
    <x:t xml:space="preserve">Status
Code</x:t>
  </x:si>
  <x:si>
    <x:t xml:space="preserve">Time Booked ON</x:t>
  </x:si>
  <x:si>
    <x:t xml:space="preserve">Time Booked OFF</x:t>
  </x:si>
  <x:si>
    <x:t xml:space="preserve">Meal Start Time</x:t>
  </x:si>
  <x:si>
    <x:t xml:space="preserve">Meal Duration</x:t>
  </x:si>
  <x:si>
    <x:t xml:space="preserve">Overtime Sum</x:t>
  </x:si>
  <x:si>
    <x:t xml:space="preserve">Total Overtime</x:t>
  </x:si>
  <x:si>
    <x:t xml:space="preserve">Under / Ovetime</x:t>
  </x:si>
  <x:si>
    <x:t xml:space="preserve">On Call Use 'Y' </x:t>
  </x:si>
  <x:si>
    <x:t xml:space="preserve">Claimed HGD Grade Code </x:t>
  </x:si>
  <x:si>
    <x:t xml:space="preserve">Ave. Earning</x:t>
  </x:si>
  <x:si>
    <x:t xml:space="preserve">PDTA</x:t>
  </x:si>
  <x:si>
    <x:t xml:space="preserve">RTA</x:t>
  </x:si>
  <x:si>
    <x:t xml:space="preserve">Meal Allowance
££ pp</x:t>
  </x:si>
  <x:si>
    <x:t xml:space="preserve">Roster Change
If applies use 'Y'</x:t>
  </x:si>
  <x:si>
    <x:t xml:space="preserve">Remarks / Comments</x:t>
  </x:si>
  <x:si>
    <x:t xml:space="preserve">Employee_Sign</x:t>
  </x:si>
  <x:si>
    <x:t xml:space="preserve">G</x:t>
  </x:si>
  <x:si>
    <x:t xml:space="preserve">HH:MM</x:t>
  </x:si>
  <x:si>
    <x:t xml:space="preserve">If eligible use 'Y'</x:t>
  </x:si>
  <x:si>
    <x:t xml:space="preserve">D to N</x:t>
  </x:si>
  <x:si>
    <x:t xml:space="preserve">N to D</x:t>
  </x:si>
  <x:si>
    <x:t xml:space="preserve">Manager_Sign</x:t>
  </x:si>
  <x:si>
    <x:t xml:space="preserve">H</x:t>
  </x:si>
  <x:si>
    <x:t xml:space="preserve">AL</x:t>
  </x:si>
  <x:si>
    <x:t xml:space="preserve">Annual Leave</x:t>
  </x:si>
  <x:si>
    <x:t xml:space="preserve">FRI</x:t>
  </x:si>
  <x:si>
    <x:t xml:space="preserve">Surname</x:t>
  </x:si>
  <x:si>
    <x:t xml:space="preserve">I</x:t>
  </x:si>
  <x:si>
    <x:t xml:space="preserve">AW</x:t>
  </x:si>
  <x:si>
    <x:t xml:space="preserve">Absent Without Leave</x:t>
  </x:si>
  <x:si>
    <x:t xml:space="preserve">J</x:t>
  </x:si>
  <x:si>
    <x:t xml:space="preserve">BH</x:t>
  </x:si>
  <x:si>
    <x:t xml:space="preserve">Un-worked Bank Holiday</x:t>
  </x:si>
  <x:si>
    <x:t xml:space="preserve">K</x:t>
  </x:si>
  <x:si>
    <x:t xml:space="preserve">BL</x:t>
  </x:si>
  <x:si>
    <x:t xml:space="preserve">Bereavement Leave</x:t>
  </x:si>
  <x:si>
    <x:t xml:space="preserve">SAT</x:t>
  </x:si>
  <x:si>
    <x:t xml:space="preserve">Date</x:t>
  </x:si>
  <x:si>
    <x:t xml:space="preserve">L</x:t>
  </x:si>
  <x:si>
    <x:t xml:space="preserve">CL</x:t>
  </x:si>
  <x:si>
    <x:t xml:space="preserve">Comp Leave / Lieu Leave</x:t>
  </x:si>
  <x:si>
    <x:t xml:space="preserve">M</x:t>
  </x:si>
  <x:si>
    <x:t xml:space="preserve">If eligible use 'Y' or 'N'</x:t>
  </x:si>
  <x:si>
    <x:t xml:space="preserve">CO</x:t>
  </x:si>
  <x:si>
    <x:t xml:space="preserve">Called Out</x:t>
  </x:si>
  <x:si>
    <x:t xml:space="preserve">N</x:t>
  </x:si>
  <x:si>
    <x:t xml:space="preserve">EL</x:t>
  </x:si>
  <x:si>
    <x:t xml:space="preserve">Education Leave</x:t>
  </x:si>
  <x:si>
    <x:t xml:space="preserve">SUN</x:t>
  </x:si>
  <x:si>
    <x:t xml:space="preserve">O</x:t>
  </x:si>
  <x:si>
    <x:t xml:space="preserve">HA</x:t>
  </x:si>
  <x:si>
    <x:t xml:space="preserve">Hospital Appoint.</x:t>
  </x:si>
  <x:si>
    <x:t xml:space="preserve">P</x:t>
  </x:si>
  <x:si>
    <x:t xml:space="preserve">JL</x:t>
  </x:si>
  <x:si>
    <x:t xml:space="preserve">Jury Service</x:t>
  </x:si>
  <x:si>
    <x:t xml:space="preserve">Q</x:t>
  </x:si>
  <x:si>
    <x:t xml:space="preserve">ML</x:t>
  </x:si>
  <x:si>
    <x:t xml:space="preserve">Maternity Leave</x:t>
  </x:si>
  <x:si>
    <x:t xml:space="preserve">MON</x:t>
  </x:si>
  <x:si>
    <x:t xml:space="preserve">R</x:t>
  </x:si>
  <x:si>
    <x:t xml:space="preserve">PL</x:t>
  </x:si>
  <x:si>
    <x:t xml:space="preserve">Paid Leave</x:t>
  </x:si>
  <x:si>
    <x:t xml:space="preserve">S</x:t>
  </x:si>
  <x:si>
    <x:t xml:space="preserve">PP</x:t>
  </x:si>
  <x:si>
    <x:t xml:space="preserve">Paternity Leave</x:t>
  </x:si>
  <x:si>
    <x:t xml:space="preserve">T</x:t>
  </x:si>
  <x:si>
    <x:t xml:space="preserve">PR</x:t>
  </x:si>
  <x:si>
    <x:t xml:space="preserve">Paid Rest Resulting
Before / After Nights</x:t>
  </x:si>
  <x:si>
    <x:t xml:space="preserve">TUE</x:t>
  </x:si>
  <x:si>
    <x:t xml:space="preserve">U</x:t>
  </x:si>
  <x:si>
    <x:t xml:space="preserve">RD</x:t>
  </x:si>
  <x:si>
    <x:t xml:space="preserve">Rest Day</x:t>
  </x:si>
  <x:si>
    <x:t xml:space="preserve">V</x:t>
  </x:si>
  <x:si>
    <x:t xml:space="preserve">RW</x:t>
  </x:si>
  <x:si>
    <x:t xml:space="preserve">Rest Day Worked</x:t>
  </x:si>
  <x:si>
    <x:t xml:space="preserve">W</x:t>
  </x:si>
  <x:si>
    <x:t xml:space="preserve">SICK</x:t>
  </x:si>
  <x:si>
    <x:t xml:space="preserve">Sick Full Pay</x:t>
  </x:si>
  <x:si>
    <x:t xml:space="preserve">WED</x:t>
  </x:si>
  <x:si>
    <x:t xml:space="preserve">SICKH</x:t>
  </x:si>
  <x:si>
    <x:t xml:space="preserve">Sick Half Pay</x:t>
  </x:si>
  <x:si>
    <x:t xml:space="preserve">Y</x:t>
  </x:si>
  <x:si>
    <x:t xml:space="preserve">SICKU</x:t>
  </x:si>
  <x:si>
    <x:t xml:space="preserve">Sick Unpaid</x:t>
  </x:si>
  <x:si>
    <x:t xml:space="preserve">Z</x:t>
  </x:si>
  <x:si>
    <x:t xml:space="preserve">TC</x:t>
  </x:si>
  <x:si>
    <x:t xml:space="preserve">On a Training Course</x:t>
  </x:si>
  <x:si>
    <x:t xml:space="preserve">THU</x:t>
  </x:si>
  <x:si>
    <x:t xml:space="preserve">TW</x:t>
  </x:si>
  <x:si>
    <x:t xml:space="preserve">Training Whilst at
Work</x:t>
  </x:si>
  <x:si>
    <x:t xml:space="preserve">UL</x:t>
  </x:si>
  <x:si>
    <x:t xml:space="preserve">Unpaid Leave</x:t>
  </x:si>
  <x:si>
    <x:t xml:space="preserve">WB</x:t>
  </x:si>
  <x:si>
    <x:t xml:space="preserve">Worked on a Bank Holiday</x:t>
  </x:si>
  <x:si>
    <x:t xml:space="preserve">Total Hours Rostered</x:t>
  </x:si>
  <x:si>
    <x:t xml:space="preserve">Total Hours
Overtime Claimed</x:t>
  </x:si>
  <x:si>
    <x:t xml:space="preserve">Total £ of
Allowances Claimed</x:t>
  </x:si>
  <x:si>
    <x:t xml:space="preserve">Employee Sign</x:t>
  </x:si>
  <x:si>
    <x:t xml:space="preserve">D Ingleston</x:t>
  </x:si>
  <x:si>
    <x:t xml:space="preserve">I declare that the hours booked are properly claimed, accurate &amp; complete</x:t>
  </x:si>
  <x:si>
    <x:t xml:space="preserve">Manager Sign</x:t>
  </x:si>
  <x:si>
    <x:t xml:space="preserve">I certify that all details are accurate and complete</x:t>
  </x:si>
  <x:si>
    <x:t xml:space="preserve">PLEASE ENSURE YOU HAVE COMPLETED THE OVERLEAF LABOUR APPROPRIATION, BEFORE SUBMITTING YOUR TIMESHEET FOR PAYMENT</x:t>
  </x:si>
</x:sst>
</file>

<file path=xl/styles.xml><?xml version="1.0" encoding="utf-8"?>
<x:styleSheet xmlns:x="http://schemas.openxmlformats.org/spreadsheetml/2006/main">
  <x:numFmts count="2">
    <x:numFmt numFmtId="164" formatCode="[h]:mm"/>
    <x:numFmt numFmtId="165" formatCode="&quot;£&quot;#,##0.00"/>
  </x:numFmts>
  <x:fonts count="24">
    <x:font>
      <x:sz val="10"/>
      <x:name val="Arial"/>
    </x:font>
    <x:font>
      <x:sz val="9"/>
      <x:color indexed="16"/>
      <x:name val="Calibri"/>
    </x:font>
    <x:font>
      <x:sz val="8"/>
      <x:name val="Arial"/>
    </x:font>
    <x:font>
      <x:b/>
      <x:sz val="9"/>
      <x:color indexed="16"/>
      <x:name val="Calibri"/>
    </x:font>
    <x:font>
      <x:b/>
      <x:sz val="11"/>
      <x:color indexed="16"/>
      <x:name val="Calibri"/>
    </x:font>
    <x:font>
      <x:sz val="11"/>
      <x:color indexed="16"/>
      <x:name val="Calibri"/>
    </x:font>
    <x:font>
      <x:sz val="11"/>
      <x:color indexed="9"/>
      <x:name val="Calibri"/>
    </x:font>
    <x:font>
      <x:sz val="11"/>
      <x:name val="Calibri"/>
    </x:font>
    <x:font>
      <x:b/>
      <x:sz val="11"/>
      <x:name val="Calibri"/>
    </x:font>
    <x:font>
      <x:b/>
      <x:sz val="36"/>
      <x:name val="Calibri"/>
    </x:font>
    <x:font>
      <x:sz val="36"/>
      <x:name val="Calibri"/>
    </x:font>
    <x:font>
      <x:sz val="28"/>
      <x:name val="Calibri"/>
    </x:font>
    <x:font>
      <x:sz val="20"/>
      <x:name val="Calibri"/>
    </x:font>
    <x:font>
      <x:b/>
      <x:sz val="26"/>
      <x:name val="Calibri"/>
    </x:font>
    <x:font>
      <x:b/>
      <x:sz val="20"/>
      <x:name val="Calibri"/>
    </x:font>
    <x:font>
      <x:b/>
      <x:sz val="9"/>
      <x:name val="Calibri"/>
    </x:font>
    <x:font>
      <x:sz val="22"/>
      <x:name val="Calibri"/>
    </x:font>
    <x:font>
      <x:sz val="9"/>
      <x:color indexed="22"/>
      <x:name val="Calibri"/>
    </x:font>
    <x:font>
      <x:sz val="8"/>
      <x:color indexed="81"/>
      <x:name val="Tahoma"/>
    </x:font>
    <x:font>
      <x:sz val="8"/>
      <x:color indexed="81"/>
      <x:name val="Tahoma"/>
    </x:font>
    <x:font>
      <x:sz val="18"/>
      <x:color indexed="16"/>
      <x:name val="Calibri"/>
    </x:font>
    <x:font>
      <x:b/>
      <x:sz val="18"/>
      <x:color indexed="16"/>
      <x:name val="Calibri"/>
    </x:font>
    <x:font>
      <x:sz val="11"/>
      <x:name val="Dreaming Outloud Script Pro"/>
    </x:font>
    <x:font>
      <x:sz val="26"/>
      <x:name val="Dreaming Outloud Script Pro"/>
    </x:font>
  </x:fonts>
  <x:fills count="10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indexed="62"/>
      </x:patternFill>
    </x:fill>
    <x:fill>
      <x:patternFill patternType="solid">
        <x:fgColor indexed="55"/>
      </x:patternFill>
    </x:fill>
    <x:fill>
      <x:patternFill patternType="solid">
        <x:fgColor indexed="16"/>
      </x:patternFill>
    </x:fill>
    <x:fill>
      <x:patternFill patternType="solid">
        <x:fgColor indexed="17"/>
      </x:patternFill>
    </x:fill>
    <x:fill>
      <x:patternFill patternType="solid">
        <x:fgColor indexed="43"/>
      </x:patternFill>
    </x:fill>
    <x:fill>
      <x:patternFill patternType="solid">
        <x:fgColor indexed="60"/>
      </x:patternFill>
    </x:fill>
    <x:fill>
      <x:patternFill patternType="solid">
        <x:fgColor indexed="13"/>
      </x:patternFill>
    </x:fill>
  </x:fills>
  <x:borders count="103">
    <x:border/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</x:border>
    <x:border>
      <x:left style="medium">
        <x:color indexed="64"/>
      </x:lef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thin">
        <x:color indexed="22"/>
      </x:right>
      <x:top style="medium">
        <x:color indexed="64"/>
      </x:top>
      <x:bottom style="medium">
        <x:color indexed="64"/>
      </x:bottom>
    </x:border>
    <x:border>
      <x:left style="thin">
        <x:color indexed="22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22"/>
      </x:right>
      <x:top style="medium">
        <x:color indexed="64"/>
      </x:top>
      <x:bottom style="medium">
        <x:color indexed="64"/>
      </x:bottom>
    </x:border>
    <x:border>
      <x:left style="thin">
        <x:color indexed="22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22"/>
      </x:right>
      <x:top style="thin">
        <x:color indexed="64"/>
      </x:top>
      <x:bottom style="thin">
        <x:color indexed="64"/>
      </x:bottom>
    </x:border>
    <x:border>
      <x:left style="thin">
        <x:color indexed="22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22"/>
      </x:left>
      <x:right style="thin">
        <x:color indexed="22"/>
      </x:right>
      <x:top style="thin">
        <x:color indexed="64"/>
      </x:top>
      <x:bottom style="thin">
        <x:color indexed="64"/>
      </x:bottom>
    </x:border>
    <x:border>
      <x:right style="thin">
        <x:color indexed="22"/>
      </x:right>
      <x:top style="thin">
        <x:color indexed="64"/>
      </x:top>
      <x:bottom style="thin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right style="medium">
        <x:color indexed="64"/>
      </x:right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22"/>
      </x:right>
      <x:top style="thin">
        <x:color indexed="64"/>
      </x:top>
      <x:bottom style="thin">
        <x:color indexed="64"/>
      </x:bottom>
    </x:border>
    <x:border>
      <x:left style="thin">
        <x:color indexed="22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22"/>
      </x:right>
      <x:top style="thin">
        <x:color indexed="64"/>
      </x:top>
      <x:bottom style="medium">
        <x:color indexed="64"/>
      </x:bottom>
    </x:border>
    <x:border>
      <x:left style="thin">
        <x:color indexed="22"/>
      </x:left>
      <x:right style="thin">
        <x:color indexed="22"/>
      </x:right>
      <x:top style="thin">
        <x:color indexed="64"/>
      </x:top>
      <x:bottom style="medium">
        <x:color indexed="64"/>
      </x:bottom>
    </x:border>
    <x:border>
      <x:left style="thin">
        <x:color indexed="22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55"/>
      </x:bottom>
    </x:border>
    <x:border>
      <x:right style="medium">
        <x:color indexed="64"/>
      </x:right>
      <x:top style="medium">
        <x:color indexed="64"/>
      </x:top>
      <x:bottom style="thin">
        <x:color indexed="55"/>
      </x:bottom>
    </x:border>
    <x:border>
      <x:left style="medium">
        <x:color indexed="64"/>
      </x:left>
      <x:top style="thin">
        <x:color indexed="55"/>
      </x:top>
      <x:bottom style="thin">
        <x:color indexed="55"/>
      </x:bottom>
    </x:border>
    <x:border>
      <x:right style="medium">
        <x:color indexed="64"/>
      </x:right>
      <x:top style="thin">
        <x:color indexed="55"/>
      </x:top>
      <x:bottom style="thin">
        <x:color indexed="55"/>
      </x:bottom>
    </x:border>
    <x:border>
      <x:left style="medium">
        <x:color indexed="64"/>
      </x:left>
      <x:top style="thin">
        <x:color indexed="55"/>
      </x:top>
      <x:bottom style="medium">
        <x:color indexed="64"/>
      </x:bottom>
    </x:border>
    <x:border>
      <x:right style="medium">
        <x:color indexed="64"/>
      </x:right>
      <x:top style="thin">
        <x:color indexed="55"/>
      </x:top>
      <x:bottom style="medium">
        <x:color indexed="64"/>
      </x:bottom>
    </x:border>
    <x:border>
      <x:top style="medium">
        <x:color indexed="64"/>
      </x:top>
      <x:bottom style="thin">
        <x:color indexed="55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top style="thin">
        <x:color indexed="55"/>
      </x:top>
      <x:bottom style="thin">
        <x:color indexed="55"/>
      </x:bottom>
    </x:border>
    <x:border>
      <x:top style="thin">
        <x:color indexed="55"/>
      </x:top>
      <x:bottom style="medium">
        <x:color indexed="64"/>
      </x:bottom>
    </x:border>
    <x:border>
      <x:left style="thin">
        <x:color indexed="64"/>
      </x:left>
      <x:top style="medium">
        <x:color indexed="64"/>
      </x:top>
      <x:bottom style="thin">
        <x:color indexed="55"/>
      </x:bottom>
    </x:border>
    <x:border>
      <x:right style="thin">
        <x:color indexed="64"/>
      </x:right>
      <x:top style="medium">
        <x:color indexed="64"/>
      </x:top>
      <x:bottom style="thin">
        <x:color indexed="55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thin">
        <x:color indexed="55"/>
      </x:top>
    </x:border>
    <x:border>
      <x:top style="thin">
        <x:color indexed="55"/>
      </x:top>
    </x:border>
    <x:border>
      <x:right style="medium">
        <x:color indexed="64"/>
      </x:right>
      <x:top style="thin">
        <x:color indexed="55"/>
      </x:top>
    </x:border>
    <x:border>
      <x:right style="thin">
        <x:color indexed="64"/>
      </x:right>
      <x:top style="thin">
        <x:color indexed="55"/>
      </x:top>
      <x:bottom style="medium">
        <x:color indexed="64"/>
      </x:bottom>
    </x:border>
    <x:border>
      <x:right style="thin">
        <x:color indexed="64"/>
      </x:right>
      <x:top style="thin">
        <x:color indexed="55"/>
      </x:top>
      <x:bottom style="thin">
        <x:color indexed="55"/>
      </x:bottom>
    </x:border>
    <x:border>
      <x:left style="thin">
        <x:color indexed="64"/>
      </x:left>
      <x:top style="thin">
        <x:color indexed="55"/>
      </x:top>
      <x:bottom style="thin">
        <x:color indexed="55"/>
      </x:bottom>
    </x:border>
    <x:border>
      <x:left style="thin">
        <x:color indexed="64"/>
      </x:left>
      <x:top style="thin">
        <x:color indexed="55"/>
      </x:top>
      <x:bottom style="medium">
        <x:color indexed="64"/>
      </x:bottom>
    </x:border>
    <x:border>
      <x:left style="medium">
        <x:color indexed="64"/>
      </x:left>
      <x:top style="thin">
        <x:color indexed="22"/>
      </x:top>
      <x:bottom style="medium">
        <x:color indexed="64"/>
      </x:bottom>
    </x:border>
    <x:border>
      <x:top style="thin">
        <x:color indexed="22"/>
      </x:top>
      <x:bottom style="medium">
        <x:color indexed="64"/>
      </x:bottom>
    </x:border>
    <x:border>
      <x:right style="medium">
        <x:color indexed="64"/>
      </x:right>
      <x:top style="thin">
        <x:color indexed="22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22"/>
      </x:bottom>
    </x:border>
    <x:border>
      <x:top style="medium">
        <x:color indexed="64"/>
      </x:top>
      <x:bottom style="thin">
        <x:color indexed="22"/>
      </x:bottom>
    </x:border>
    <x:border>
      <x:right style="medium">
        <x:color indexed="64"/>
      </x:right>
      <x:top style="medium">
        <x:color indexed="64"/>
      </x:top>
      <x:bottom style="thin">
        <x:color indexed="22"/>
      </x:bottom>
    </x:border>
    <x:border>
      <x:left style="medium">
        <x:color indexed="64"/>
      </x:left>
      <x:top style="thin">
        <x:color indexed="22"/>
      </x:top>
      <x:bottom style="thin">
        <x:color indexed="22"/>
      </x:bottom>
    </x:border>
    <x:border>
      <x:top style="thin">
        <x:color indexed="22"/>
      </x:top>
      <x:bottom style="thin">
        <x:color indexed="22"/>
      </x:bottom>
    </x:border>
    <x:border>
      <x:right style="medium">
        <x:color indexed="64"/>
      </x:right>
      <x:top style="thin">
        <x:color indexed="22"/>
      </x:top>
      <x:bottom style="thin">
        <x:color indexed="22"/>
      </x:bottom>
    </x:border>
    <x:border>
      <x:left style="medium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left style="medium">
        <x:color indexed="64"/>
      </x:left>
      <x:top style="thin">
        <x:color indexed="22"/>
      </x:top>
    </x:border>
    <x:border>
      <x:top style="thin">
        <x:color indexed="22"/>
      </x:top>
    </x:border>
    <x:border>
      <x:right style="medium">
        <x:color indexed="64"/>
      </x:right>
      <x:top style="thin">
        <x:color indexed="22"/>
      </x:top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22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22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22"/>
      </x:bottom>
    </x:border>
    <x:border>
      <x:left style="medium">
        <x:color indexed="64"/>
      </x:left>
      <x:right style="thin">
        <x:color indexed="64"/>
      </x:right>
    </x:border>
    <x:border>
      <x:left style="thin">
        <x:color indexed="64"/>
      </x:left>
      <x:right style="medium">
        <x:color indexed="64"/>
      </x:right>
    </x:border>
    <x:border>
      <x:left style="medium">
        <x:color indexed="64"/>
      </x:left>
      <x:right style="thin">
        <x:color indexed="64"/>
      </x:right>
      <x:top style="thin">
        <x:color indexed="22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22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22"/>
      </x:top>
      <x:bottom style="medium">
        <x:color indexed="64"/>
      </x:bottom>
    </x:border>
    <x:border>
      <x:top style="thin">
        <x:color indexed="64"/>
      </x:top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</x:borders>
  <x:cellStyleXfs count="1">
    <x:xf numFmtId="0" fontId="0" fillId="0" borderId="0"/>
  </x:cellStyleXfs>
  <x:cellXfs count="378">
    <x:xf numFmtId="0" fontId="0" fillId="0" borderId="0" xfId="0"/>
    <x:xf numFmtId="0" fontId="1" fillId="2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0" fontId="5" fillId="0" borderId="0" xfId="0" applyFont="1" applyAlignment="1">
      <x:alignment horizontal="left" vertical="center"/>
    </x:xf>
    <x:xf numFmtId="0" fontId="5" fillId="0" borderId="0" xfId="0" applyFont="1" applyAlignment="1">
      <x:alignment vertical="center"/>
    </x:xf>
    <x:xf numFmtId="0" fontId="1" fillId="0" borderId="0" xfId="0" applyFont="1" applyAlignment="1">
      <x:alignment horizontal="center" vertical="center"/>
    </x:xf>
    <x:xf numFmtId="0" fontId="1" fillId="2" borderId="0" xfId="0" applyFont="1" applyFill="1" applyAlignment="1">
      <x:alignment vertical="center" wrapText="1"/>
    </x:xf>
    <x:xf numFmtId="0" fontId="5" fillId="0" borderId="0" xfId="0" applyFont="1" applyAlignment="1">
      <x:alignment vertical="center" wrapText="1"/>
    </x:xf>
    <x:xf numFmtId="0" fontId="3" fillId="0" borderId="0" xfId="0" applyFont="1" applyAlignment="1">
      <x:alignment vertical="center"/>
    </x:xf>
    <x:xf numFmtId="0" fontId="5" fillId="0" borderId="0" xfId="0" applyFont="1" applyAlignment="1">
      <x:alignment horizontal="right"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center" vertical="center" wrapText="1"/>
    </x:xf>
    <x:xf numFmtId="0" fontId="5" fillId="0" borderId="0" xfId="0" applyFont="1"/>
    <x:xf numFmtId="0" fontId="5" fillId="2" borderId="0" xfId="0" applyFont="1" applyFill="1" applyAlignment="1">
      <x:alignment vertical="center"/>
    </x:xf>
    <x:xf numFmtId="0" fontId="7" fillId="3" borderId="1" xfId="0" applyFont="1" applyFill="1" applyBorder="1" applyAlignment="1">
      <x:alignment horizontal="center" vertical="center" wrapText="1"/>
    </x:xf>
    <x:xf numFmtId="0" fontId="7" fillId="3" borderId="2" xfId="0" applyFont="1" applyFill="1" applyBorder="1" applyAlignment="1">
      <x:alignment horizontal="center" vertical="center" wrapText="1"/>
    </x:xf>
    <x:xf numFmtId="0" fontId="7" fillId="3" borderId="3" xfId="0" applyFont="1" applyFill="1" applyBorder="1" applyAlignment="1">
      <x:alignment horizontal="center" vertical="center" wrapText="1"/>
    </x:xf>
    <x:xf numFmtId="0" fontId="7" fillId="0" borderId="0" xfId="0" applyFont="1" applyAlignment="1">
      <x:alignment vertical="center"/>
    </x:xf>
    <x:xf numFmtId="0" fontId="7" fillId="0" borderId="0" xfId="0" applyFont="1" applyAlignment="1">
      <x:alignment vertical="center" wrapText="1"/>
    </x:xf>
    <x:xf numFmtId="0" fontId="7" fillId="0" borderId="0" xfId="0" applyFont="1" applyAlignment="1">
      <x:alignment horizontal="center" vertical="center" wrapText="1"/>
    </x:xf>
    <x:xf numFmtId="0" fontId="1" fillId="0" borderId="4" xfId="0" applyFont="1" applyBorder="1" applyAlignment="1">
      <x:alignment vertical="center"/>
    </x:xf>
    <x:xf numFmtId="0" fontId="1" fillId="0" borderId="5" xfId="0" applyFont="1" applyBorder="1" applyAlignment="1">
      <x:alignment vertical="center"/>
    </x:xf>
    <x:xf numFmtId="0" fontId="1" fillId="0" borderId="6" xfId="0" applyFont="1" applyBorder="1" applyAlignment="1">
      <x:alignment vertical="center"/>
    </x:xf>
    <x:xf numFmtId="0" fontId="1" fillId="0" borderId="7" xfId="0" applyFont="1" applyBorder="1" applyAlignment="1">
      <x:alignment vertical="center"/>
    </x:xf>
    <x:xf numFmtId="0" fontId="1" fillId="0" borderId="7" xfId="0" applyFont="1" applyBorder="1" applyAlignment="1">
      <x:alignment vertical="center" wrapText="1"/>
    </x:xf>
    <x:xf numFmtId="0" fontId="1" fillId="0" borderId="6" xfId="0" applyFont="1" applyBorder="1" applyAlignment="1">
      <x:alignment vertical="center" wrapText="1"/>
    </x:xf>
    <x:xf numFmtId="0" fontId="1" fillId="0" borderId="8" xfId="0" applyFont="1" applyBorder="1" applyAlignment="1">
      <x:alignment vertical="center"/>
    </x:xf>
    <x:xf numFmtId="0" fontId="1" fillId="0" borderId="9" xfId="0" applyFont="1" applyBorder="1" applyAlignment="1">
      <x:alignment vertical="center"/>
    </x:xf>
    <x:xf numFmtId="0" fontId="1" fillId="0" borderId="10" xfId="0" applyFont="1" applyBorder="1" applyAlignment="1">
      <x:alignment vertical="center"/>
    </x:xf>
    <x:xf numFmtId="0" fontId="4" fillId="0" borderId="0" xfId="0" applyFont="1" applyAlignment="1">
      <x:alignment vertical="center"/>
    </x:xf>
    <x:xf numFmtId="0" fontId="9" fillId="0" borderId="4" xfId="0" applyFont="1" applyBorder="1" applyAlignment="1">
      <x:alignment vertical="center"/>
    </x:xf>
    <x:xf numFmtId="0" fontId="9" fillId="0" borderId="0" xfId="0" applyFont="1" applyAlignment="1">
      <x:alignment vertical="center"/>
    </x:xf>
    <x:xf numFmtId="0" fontId="13" fillId="0" borderId="0" xfId="0" applyFont="1" applyAlignment="1">
      <x:alignment vertical="center"/>
    </x:xf>
    <x:xf numFmtId="0" fontId="14" fillId="0" borderId="0" xfId="0" applyFont="1" applyAlignment="1">
      <x:alignment horizontal="left" vertical="center"/>
    </x:xf>
    <x:xf numFmtId="0" fontId="7" fillId="4" borderId="11" xfId="0" applyFont="1" applyFill="1" applyBorder="1" applyAlignment="1">
      <x:alignment horizontal="center" vertical="center"/>
    </x:xf>
    <x:xf numFmtId="0" fontId="7" fillId="4" borderId="12" xfId="0" applyFont="1" applyFill="1" applyBorder="1" applyAlignment="1">
      <x:alignment horizontal="center" vertical="center"/>
    </x:xf>
    <x:xf numFmtId="0" fontId="7" fillId="4" borderId="13" xfId="0" applyFont="1" applyFill="1" applyBorder="1" applyAlignment="1">
      <x:alignment horizontal="center" vertical="center"/>
    </x:xf>
    <x:xf numFmtId="0" fontId="7" fillId="4" borderId="14" xfId="0" applyFont="1" applyFill="1" applyBorder="1" applyAlignment="1">
      <x:alignment horizontal="center" vertical="center"/>
    </x:xf>
    <x:xf numFmtId="0" fontId="7" fillId="3" borderId="11" xfId="0" applyFont="1" applyFill="1" applyBorder="1" applyAlignment="1">
      <x:alignment horizontal="center" vertical="center"/>
    </x:xf>
    <x:xf numFmtId="0" fontId="7" fillId="3" borderId="12" xfId="0" applyFont="1" applyFill="1" applyBorder="1" applyAlignment="1">
      <x:alignment horizontal="center" vertical="center"/>
    </x:xf>
    <x:xf numFmtId="0" fontId="7" fillId="3" borderId="13" xfId="0" applyFont="1" applyFill="1" applyBorder="1" applyAlignment="1">
      <x:alignment horizontal="center" vertical="center"/>
    </x:xf>
    <x:xf numFmtId="0" fontId="7" fillId="3" borderId="14" xfId="0" applyFont="1" applyFill="1" applyBorder="1" applyAlignment="1">
      <x:alignment horizontal="center" vertical="center"/>
    </x:xf>
    <x:xf numFmtId="0" fontId="1" fillId="0" borderId="15" xfId="0" applyFont="1" applyBorder="1" applyAlignment="1">
      <x:alignment vertical="center"/>
    </x:xf>
    <x:xf numFmtId="0" fontId="5" fillId="0" borderId="9" xfId="0" applyFont="1" applyBorder="1" applyAlignment="1">
      <x:alignment vertical="center"/>
    </x:xf>
    <x:xf numFmtId="0" fontId="6" fillId="5" borderId="16" xfId="0" applyFont="1" applyFill="1" applyBorder="1" applyAlignment="1">
      <x:alignment horizontal="center" vertical="center"/>
    </x:xf>
    <x:xf numFmtId="0" fontId="7" fillId="6" borderId="16" xfId="0" applyFont="1" applyFill="1" applyBorder="1" applyAlignment="1">
      <x:alignment vertical="center"/>
    </x:xf>
    <x:xf numFmtId="0" fontId="7" fillId="6" borderId="16" xfId="0" applyFont="1" applyFill="1" applyBorder="1" applyAlignment="1">
      <x:alignment horizontal="center" vertical="center"/>
    </x:xf>
    <x:xf numFmtId="0" fontId="8" fillId="6" borderId="0" xfId="0" applyFont="1" applyFill="1" applyAlignment="1">
      <x:alignment horizontal="center" vertical="center"/>
    </x:xf>
    <x:xf numFmtId="0" fontId="7" fillId="0" borderId="16" xfId="0" applyFont="1" applyBorder="1" applyAlignment="1">
      <x:alignment vertical="center"/>
    </x:xf>
    <x:xf numFmtId="0" fontId="7" fillId="3" borderId="16" xfId="0" applyFont="1" applyFill="1" applyBorder="1" applyAlignment="1">
      <x:alignment horizontal="center" vertical="center"/>
    </x:xf>
    <x:xf numFmtId="0" fontId="7" fillId="0" borderId="16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1" fillId="0" borderId="0" xfId="0" applyFont="1" applyAlignment="1">
      <x:alignment vertical="center" wrapText="1"/>
    </x:xf>
    <x:xf numFmtId="0" fontId="11" fillId="0" borderId="17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0" fontId="7" fillId="0" borderId="17" xfId="0" applyFont="1" applyBorder="1" applyAlignment="1">
      <x:alignment horizontal="center" vertical="center"/>
    </x:xf>
    <x:xf numFmtId="0" fontId="7" fillId="0" borderId="19" xfId="0" applyFont="1" applyBorder="1" applyAlignment="1">
      <x:alignment horizontal="center" vertical="center"/>
    </x:xf>
    <x:xf numFmtId="0" fontId="7" fillId="0" borderId="18" xfId="0" applyFont="1" applyBorder="1" applyAlignment="1">
      <x:alignment horizontal="center" vertical="center"/>
    </x:xf>
    <x:xf numFmtId="0" fontId="7" fillId="0" borderId="20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0" fontId="1" fillId="0" borderId="21" xfId="0" applyFont="1" applyBorder="1" applyAlignment="1">
      <x:alignment vertical="center"/>
    </x:xf>
    <x:xf numFmtId="0" fontId="8" fillId="3" borderId="21" xfId="0" applyFont="1" applyFill="1" applyBorder="1" applyAlignment="1">
      <x:alignment horizontal="center" vertical="center"/>
    </x:xf>
    <x:xf numFmtId="0" fontId="8" fillId="2" borderId="4" xfId="0" applyFont="1" applyFill="1" applyBorder="1" applyAlignment="1">
      <x:alignment horizontal="center" vertical="center"/>
    </x:xf>
    <x:xf numFmtId="0" fontId="8" fillId="2" borderId="22" xfId="0" applyFont="1" applyFill="1" applyBorder="1" applyAlignment="1">
      <x:alignment horizontal="center" vertical="center" wrapText="1"/>
    </x:xf>
    <x:xf numFmtId="0" fontId="8" fillId="3" borderId="23" xfId="0" applyFont="1" applyFill="1" applyBorder="1" applyAlignment="1">
      <x:alignment horizontal="center" vertical="center"/>
    </x:xf>
    <x:xf numFmtId="2" fontId="16" fillId="0" borderId="24" xfId="0" applyNumberFormat="1" applyFont="1" applyBorder="1" applyAlignment="1">
      <x:alignment horizontal="center" vertical="center"/>
    </x:xf>
    <x:xf numFmtId="2" fontId="10" fillId="7" borderId="23" xfId="0" applyNumberFormat="1" applyFont="1" applyFill="1" applyBorder="1" applyAlignment="1">
      <x:alignment horizontal="center" vertical="center"/>
    </x:xf>
    <x:xf numFmtId="2" fontId="10" fillId="7" borderId="15" xfId="0" applyNumberFormat="1" applyFont="1" applyFill="1" applyBorder="1" applyAlignment="1">
      <x:alignment horizontal="center" vertical="center"/>
    </x:xf>
    <x:xf numFmtId="2" fontId="16" fillId="0" borderId="25" xfId="0" applyNumberFormat="1" applyFont="1" applyBorder="1" applyAlignment="1">
      <x:alignment horizontal="center" vertical="center"/>
    </x:xf>
    <x:xf numFmtId="2" fontId="10" fillId="7" borderId="7" xfId="0" applyNumberFormat="1" applyFont="1" applyFill="1" applyBorder="1" applyAlignment="1">
      <x:alignment horizontal="center" vertical="center"/>
    </x:xf>
    <x:xf numFmtId="2" fontId="16" fillId="0" borderId="26" xfId="0" applyNumberFormat="1" applyFont="1" applyBorder="1" applyAlignment="1">
      <x:alignment horizontal="center" vertical="center"/>
    </x:xf>
    <x:xf numFmtId="2" fontId="10" fillId="7" borderId="8" xfId="0" applyNumberFormat="1" applyFont="1" applyFill="1" applyBorder="1" applyAlignment="1">
      <x:alignment horizontal="center" vertical="center"/>
    </x:xf>
    <x:xf numFmtId="2" fontId="16" fillId="0" borderId="27" xfId="0" applyNumberFormat="1" applyFont="1" applyBorder="1" applyAlignment="1">
      <x:alignment horizontal="center" vertical="center"/>
    </x:xf>
    <x:xf numFmtId="2" fontId="16" fillId="0" borderId="28" xfId="0" applyNumberFormat="1" applyFont="1" applyBorder="1" applyAlignment="1">
      <x:alignment horizontal="center" vertical="center"/>
    </x:xf>
    <x:xf numFmtId="0" fontId="17" fillId="2" borderId="0" xfId="0" applyFont="1" applyFill="1" applyAlignment="1">
      <x:alignment vertical="center"/>
    </x:xf>
    <x:xf numFmtId="0" fontId="8" fillId="0" borderId="29" xfId="0" applyFont="1" applyBorder="1" applyAlignment="1">
      <x:alignment horizontal="center" vertical="center"/>
    </x:xf>
    <x:xf numFmtId="0" fontId="8" fillId="0" borderId="19" xfId="0" applyFont="1" applyBorder="1" applyAlignment="1">
      <x:alignment horizontal="center" vertical="center"/>
    </x:xf>
    <x:xf numFmtId="0" fontId="8" fillId="0" borderId="30" xfId="0" applyFont="1" applyBorder="1" applyAlignment="1">
      <x:alignment horizontal="center" vertical="center"/>
    </x:xf>
    <x:xf numFmtId="0" fontId="8" fillId="0" borderId="31" xfId="0" applyFont="1" applyBorder="1" applyAlignment="1">
      <x:alignment horizontal="center" vertical="center" wrapText="1"/>
    </x:xf>
    <x:xf numFmtId="0" fontId="8" fillId="0" borderId="32" xfId="0" applyFont="1" applyBorder="1" applyAlignment="1">
      <x:alignment horizontal="center" vertical="center" wrapText="1"/>
    </x:xf>
    <x:xf numFmtId="0" fontId="8" fillId="0" borderId="33" xfId="0" applyFont="1" applyBorder="1" applyAlignment="1">
      <x:alignment horizontal="center" vertical="center" wrapText="1"/>
    </x:xf>
    <x:xf numFmtId="0" fontId="20" fillId="0" borderId="0" xfId="0" applyFont="1" applyAlignment="1">
      <x:alignment vertical="center"/>
    </x:xf>
    <x:xf numFmtId="0" fontId="11" fillId="8" borderId="16" xfId="0" applyFont="1" applyFill="1" applyBorder="1" applyAlignment="1">
      <x:alignment vertical="center"/>
    </x:xf>
    <x:xf numFmtId="1" fontId="11" fillId="8" borderId="16" xfId="0" applyNumberFormat="1" applyFont="1" applyFill="1" applyBorder="1" applyAlignment="1">
      <x:alignment vertical="center"/>
    </x:xf>
    <x:xf numFmtId="0" fontId="1" fillId="0" borderId="21" xfId="0" applyFont="1" applyBorder="1" applyAlignment="1">
      <x:alignment horizontal="center" vertical="center"/>
    </x:xf>
    <x:xf numFmtId="164" fontId="9" fillId="0" borderId="62" xfId="0" applyNumberFormat="1" applyFont="1" applyBorder="1" applyAlignment="1">
      <x:alignment horizontal="center" vertical="center" wrapText="1"/>
    </x:xf>
    <x:xf numFmtId="164" fontId="9" fillId="0" borderId="21" xfId="0" applyNumberFormat="1" applyFont="1" applyBorder="1" applyAlignment="1">
      <x:alignment horizontal="center" vertical="center" wrapText="1"/>
    </x:xf>
    <x:xf numFmtId="164" fontId="9" fillId="0" borderId="63" xfId="0" applyNumberFormat="1" applyFont="1" applyBorder="1" applyAlignment="1">
      <x:alignment horizontal="center" vertical="center" wrapText="1"/>
    </x:xf>
    <x:xf numFmtId="0" fontId="15" fillId="2" borderId="62" xfId="0" applyFont="1" applyFill="1" applyBorder="1" applyAlignment="1">
      <x:alignment horizontal="center" vertical="center" wrapText="1"/>
    </x:xf>
    <x:xf numFmtId="0" fontId="15" fillId="2" borderId="63" xfId="0" applyFont="1" applyFill="1" applyBorder="1" applyAlignment="1">
      <x:alignment horizontal="center" vertical="center" wrapText="1"/>
    </x:xf>
    <x:xf numFmtId="0" fontId="7" fillId="3" borderId="16" xfId="0" applyFont="1" applyFill="1" applyBorder="1" applyAlignment="1">
      <x:alignment horizontal="left" vertical="center" wrapText="1"/>
    </x:xf>
    <x:xf numFmtId="0" fontId="7" fillId="3" borderId="61" xfId="0" applyFont="1" applyFill="1" applyBorder="1" applyAlignment="1">
      <x:alignment horizontal="left" vertical="center" wrapText="1"/>
    </x:xf>
    <x:xf numFmtId="20" fontId="10" fillId="0" borderId="39" xfId="0" applyNumberFormat="1" applyFont="1" applyBorder="1" applyAlignment="1">
      <x:alignment horizontal="center" vertical="center"/>
    </x:xf>
    <x:xf numFmtId="20" fontId="10" fillId="0" borderId="45" xfId="0" applyNumberFormat="1" applyFont="1" applyBorder="1" applyAlignment="1">
      <x:alignment horizontal="center" vertical="center"/>
    </x:xf>
    <x:xf numFmtId="20" fontId="10" fillId="0" borderId="40" xfId="0" applyNumberFormat="1" applyFont="1" applyBorder="1" applyAlignment="1">
      <x:alignment horizontal="center" vertical="center"/>
    </x:xf>
    <x:xf numFmtId="20" fontId="10" fillId="0" borderId="41" xfId="0" applyNumberFormat="1" applyFont="1" applyBorder="1" applyAlignment="1">
      <x:alignment horizontal="center" vertical="center"/>
    </x:xf>
    <x:xf numFmtId="20" fontId="10" fillId="0" borderId="57" xfId="0" applyNumberFormat="1" applyFont="1" applyBorder="1" applyAlignment="1">
      <x:alignment horizontal="center" vertical="center"/>
    </x:xf>
    <x:xf numFmtId="20" fontId="10" fillId="0" borderId="42" xfId="0" applyNumberFormat="1" applyFont="1" applyBorder="1" applyAlignment="1">
      <x:alignment horizontal="center" vertical="center"/>
    </x:xf>
    <x:xf numFmtId="20" fontId="10" fillId="0" borderId="43" xfId="0" applyNumberFormat="1" applyFont="1" applyBorder="1" applyAlignment="1">
      <x:alignment horizontal="center" vertical="center"/>
    </x:xf>
    <x:xf numFmtId="20" fontId="10" fillId="0" borderId="58" xfId="0" applyNumberFormat="1" applyFont="1" applyBorder="1" applyAlignment="1">
      <x:alignment horizontal="center" vertical="center"/>
    </x:xf>
    <x:xf numFmtId="20" fontId="10" fillId="0" borderId="44" xfId="0" applyNumberFormat="1" applyFont="1" applyBorder="1" applyAlignment="1">
      <x:alignment horizontal="center" vertical="center"/>
    </x:xf>
    <x:xf numFmtId="0" fontId="8" fillId="4" borderId="36" xfId="0" applyFont="1" applyFill="1" applyBorder="1" applyAlignment="1">
      <x:alignment horizontal="right" vertical="center"/>
    </x:xf>
    <x:xf numFmtId="0" fontId="8" fillId="4" borderId="37" xfId="0" applyFont="1" applyFill="1" applyBorder="1" applyAlignment="1">
      <x:alignment horizontal="right" vertical="center"/>
    </x:xf>
    <x:xf numFmtId="0" fontId="8" fillId="4" borderId="38" xfId="0" applyFont="1" applyFill="1" applyBorder="1" applyAlignment="1">
      <x:alignment horizontal="right" vertical="center"/>
    </x:xf>
    <x:xf numFmtId="0" fontId="9" fillId="0" borderId="15" xfId="0" applyFont="1" applyBorder="1" applyAlignment="1">
      <x:alignment horizontal="left" vertical="center"/>
    </x:xf>
    <x:xf numFmtId="0" fontId="9" fillId="0" borderId="4" xfId="0" applyFont="1" applyBorder="1" applyAlignment="1">
      <x:alignment horizontal="left" vertical="center"/>
    </x:xf>
    <x:xf numFmtId="0" fontId="9" fillId="0" borderId="7" xfId="0" applyFont="1" applyBorder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8" fillId="4" borderId="16" xfId="0" applyFont="1" applyFill="1" applyBorder="1" applyAlignment="1">
      <x:alignment horizontal="right" vertical="center" wrapText="1"/>
    </x:xf>
    <x:xf numFmtId="0" fontId="8" fillId="2" borderId="16" xfId="0" applyFont="1" applyFill="1" applyBorder="1" applyAlignment="1">
      <x:alignment horizontal="center" vertical="center"/>
    </x:xf>
    <x:xf numFmtId="0" fontId="11" fillId="8" borderId="16" xfId="0" applyFont="1" applyFill="1" applyBorder="1" applyAlignment="1">
      <x:alignment horizontal="center" vertical="center"/>
    </x:xf>
    <x:xf numFmtId="2" fontId="12" fillId="0" borderId="41" xfId="0" applyNumberFormat="1" applyFont="1" applyBorder="1" applyAlignment="1">
      <x:alignment horizontal="center" vertical="center"/>
    </x:xf>
    <x:xf numFmtId="2" fontId="12" fillId="0" borderId="42" xfId="0" applyNumberFormat="1" applyFont="1" applyBorder="1" applyAlignment="1">
      <x:alignment horizontal="center" vertical="center"/>
    </x:xf>
    <x:xf numFmtId="2" fontId="12" fillId="0" borderId="43" xfId="0" applyNumberFormat="1" applyFont="1" applyBorder="1" applyAlignment="1">
      <x:alignment horizontal="center" vertical="center"/>
    </x:xf>
    <x:xf numFmtId="2" fontId="12" fillId="0" borderId="44" xfId="0" applyNumberFormat="1" applyFont="1" applyBorder="1" applyAlignment="1">
      <x:alignment horizontal="center" vertical="center"/>
    </x:xf>
    <x:xf numFmtId="0" fontId="1" fillId="0" borderId="94" xfId="0" applyFont="1" applyBorder="1" applyAlignment="1">
      <x:alignment horizontal="center" vertical="center"/>
    </x:xf>
    <x:xf numFmtId="20" fontId="10" fillId="0" borderId="86" xfId="0" applyNumberFormat="1" applyFont="1" applyBorder="1" applyAlignment="1">
      <x:alignment horizontal="center" vertical="center"/>
    </x:xf>
    <x:xf numFmtId="20" fontId="10" fillId="0" borderId="87" xfId="0" applyNumberFormat="1" applyFont="1" applyBorder="1" applyAlignment="1">
      <x:alignment horizontal="center" vertical="center"/>
    </x:xf>
    <x:xf numFmtId="20" fontId="10" fillId="0" borderId="88" xfId="0" applyNumberFormat="1" applyFont="1" applyBorder="1" applyAlignment="1">
      <x:alignment horizontal="center" vertical="center"/>
    </x:xf>
    <x:xf numFmtId="20" fontId="10" fillId="0" borderId="89" xfId="0" applyNumberFormat="1" applyFont="1" applyBorder="1" applyAlignment="1">
      <x:alignment horizontal="center" vertical="center"/>
    </x:xf>
    <x:xf numFmtId="20" fontId="10" fillId="0" borderId="52" xfId="0" applyNumberFormat="1" applyFont="1" applyBorder="1" applyAlignment="1">
      <x:alignment horizontal="center" vertical="center"/>
    </x:xf>
    <x:xf numFmtId="20" fontId="10" fillId="0" borderId="90" xfId="0" applyNumberFormat="1" applyFont="1" applyBorder="1" applyAlignment="1">
      <x:alignment horizontal="center" vertical="center"/>
    </x:xf>
    <x:xf numFmtId="20" fontId="10" fillId="0" borderId="91" xfId="0" applyNumberFormat="1" applyFont="1" applyBorder="1" applyAlignment="1">
      <x:alignment horizontal="center" vertical="center"/>
    </x:xf>
    <x:xf numFmtId="20" fontId="10" fillId="0" borderId="92" xfId="0" applyNumberFormat="1" applyFont="1" applyBorder="1" applyAlignment="1">
      <x:alignment horizontal="center" vertical="center"/>
    </x:xf>
    <x:xf numFmtId="20" fontId="10" fillId="0" borderId="93" xfId="0" applyNumberFormat="1" applyFont="1" applyBorder="1" applyAlignment="1">
      <x:alignment horizontal="center" vertical="center"/>
    </x:xf>
    <x:xf numFmtId="20" fontId="10" fillId="0" borderId="75" xfId="0" applyNumberFormat="1" applyFont="1" applyBorder="1" applyAlignment="1">
      <x:alignment horizontal="center" vertical="center"/>
    </x:xf>
    <x:xf numFmtId="20" fontId="10" fillId="0" borderId="76" xfId="0" applyNumberFormat="1" applyFont="1" applyBorder="1" applyAlignment="1">
      <x:alignment horizontal="center" vertical="center"/>
    </x:xf>
    <x:xf numFmtId="20" fontId="10" fillId="0" borderId="77" xfId="0" applyNumberFormat="1" applyFont="1" applyBorder="1" applyAlignment="1">
      <x:alignment horizontal="center" vertical="center"/>
    </x:xf>
    <x:xf numFmtId="20" fontId="10" fillId="0" borderId="7" xfId="0" applyNumberFormat="1" applyFont="1" applyBorder="1" applyAlignment="1">
      <x:alignment horizontal="center" vertical="center"/>
    </x:xf>
    <x:xf numFmtId="20" fontId="10" fillId="0" borderId="0" xfId="0" applyNumberFormat="1" applyFont="1" applyAlignment="1">
      <x:alignment horizontal="center" vertical="center"/>
    </x:xf>
    <x:xf numFmtId="20" fontId="10" fillId="0" borderId="6" xfId="0" applyNumberFormat="1" applyFont="1" applyBorder="1" applyAlignment="1">
      <x:alignment horizontal="center" vertical="center"/>
    </x:xf>
    <x:xf numFmtId="0" fontId="8" fillId="4" borderId="16" xfId="0" applyFont="1" applyFill="1" applyBorder="1" applyAlignment="1">
      <x:alignment horizontal="right" vertical="center"/>
    </x:xf>
    <x:xf numFmtId="9" fontId="10" fillId="0" borderId="41" xfId="0" applyNumberFormat="1" applyFont="1" applyBorder="1" applyAlignment="1">
      <x:alignment horizontal="center" vertical="center"/>
    </x:xf>
    <x:xf numFmtId="9" fontId="10" fillId="0" borderId="42" xfId="0" applyNumberFormat="1" applyFont="1" applyBorder="1" applyAlignment="1">
      <x:alignment horizontal="center" vertical="center"/>
    </x:xf>
    <x:xf numFmtId="164" fontId="9" fillId="0" borderId="8" xfId="0" applyNumberFormat="1" applyFont="1" applyBorder="1" applyAlignment="1">
      <x:alignment horizontal="center" vertical="center"/>
    </x:xf>
    <x:xf numFmtId="164" fontId="9" fillId="0" borderId="9" xfId="0" applyNumberFormat="1" applyFont="1" applyBorder="1" applyAlignment="1">
      <x:alignment horizontal="center" vertical="center"/>
    </x:xf>
    <x:xf numFmtId="164" fontId="9" fillId="0" borderId="10" xfId="0" applyNumberFormat="1" applyFont="1" applyBorder="1" applyAlignment="1">
      <x:alignment horizontal="center" vertical="center"/>
    </x:xf>
    <x:xf numFmtId="165" fontId="14" fillId="0" borderId="62" xfId="0" applyNumberFormat="1" applyFont="1" applyBorder="1" applyAlignment="1">
      <x:alignment horizontal="center" vertical="center"/>
    </x:xf>
    <x:xf numFmtId="165" fontId="14" fillId="0" borderId="63" xfId="0" applyNumberFormat="1" applyFont="1" applyBorder="1" applyAlignment="1">
      <x:alignment horizontal="center" vertical="center"/>
    </x:xf>
    <x:xf numFmtId="2" fontId="12" fillId="0" borderId="39" xfId="0" applyNumberFormat="1" applyFont="1" applyBorder="1" applyAlignment="1">
      <x:alignment horizontal="center" vertical="center"/>
    </x:xf>
    <x:xf numFmtId="2" fontId="12" fillId="0" borderId="40" xfId="0" applyNumberFormat="1" applyFont="1" applyBorder="1" applyAlignment="1">
      <x:alignment horizontal="center" vertical="center"/>
    </x:xf>
    <x:xf numFmtId="20" fontId="10" fillId="0" borderId="81" xfId="0" applyNumberFormat="1" applyFont="1" applyBorder="1" applyAlignment="1">
      <x:alignment horizontal="center" vertical="center"/>
    </x:xf>
    <x:xf numFmtId="20" fontId="10" fillId="0" borderId="82" xfId="0" applyNumberFormat="1" applyFont="1" applyBorder="1" applyAlignment="1">
      <x:alignment horizontal="center" vertical="center"/>
    </x:xf>
    <x:xf numFmtId="20" fontId="10" fillId="0" borderId="26" xfId="0" applyNumberFormat="1" applyFont="1" applyBorder="1" applyAlignment="1">
      <x:alignment horizontal="center" vertical="center"/>
    </x:xf>
    <x:xf numFmtId="20" fontId="10" fillId="0" borderId="72" xfId="0" applyNumberFormat="1" applyFont="1" applyBorder="1" applyAlignment="1">
      <x:alignment horizontal="center" vertical="center"/>
    </x:xf>
    <x:xf numFmtId="20" fontId="10" fillId="0" borderId="73" xfId="0" applyNumberFormat="1" applyFont="1" applyBorder="1" applyAlignment="1">
      <x:alignment horizontal="center" vertical="center"/>
    </x:xf>
    <x:xf numFmtId="20" fontId="10" fillId="0" borderId="74" xfId="0" applyNumberFormat="1" applyFont="1" applyBorder="1" applyAlignment="1">
      <x:alignment horizontal="center" vertical="center"/>
    </x:xf>
    <x:xf numFmtId="49" fontId="12" fillId="0" borderId="41" xfId="0" applyNumberFormat="1" applyFont="1" applyBorder="1" applyAlignment="1">
      <x:alignment horizontal="center" vertical="center"/>
    </x:xf>
    <x:xf numFmtId="49" fontId="12" fillId="0" borderId="57" xfId="0" applyNumberFormat="1" applyFont="1" applyBorder="1" applyAlignment="1">
      <x:alignment horizontal="center" vertical="center"/>
    </x:xf>
    <x:xf numFmtId="49" fontId="12" fillId="0" borderId="42" xfId="0" applyNumberFormat="1" applyFont="1" applyBorder="1" applyAlignment="1">
      <x:alignment horizontal="center" vertical="center"/>
    </x:xf>
    <x:xf numFmtId="49" fontId="12" fillId="0" borderId="43" xfId="0" applyNumberFormat="1" applyFont="1" applyBorder="1" applyAlignment="1">
      <x:alignment horizontal="center" vertical="center"/>
    </x:xf>
    <x:xf numFmtId="49" fontId="12" fillId="0" borderId="58" xfId="0" applyNumberFormat="1" applyFont="1" applyBorder="1" applyAlignment="1">
      <x:alignment horizontal="center" vertical="center"/>
    </x:xf>
    <x:xf numFmtId="49" fontId="12" fillId="0" borderId="44" xfId="0" applyNumberFormat="1" applyFont="1" applyBorder="1" applyAlignment="1">
      <x:alignment horizontal="center" vertical="center"/>
    </x:xf>
    <x:xf numFmtId="9" fontId="10" fillId="0" borderId="43" xfId="0" applyNumberFormat="1" applyFont="1" applyBorder="1" applyAlignment="1">
      <x:alignment horizontal="center" vertical="center"/>
    </x:xf>
    <x:xf numFmtId="9" fontId="10" fillId="0" borderId="44" xfId="0" applyNumberFormat="1" applyFont="1" applyBorder="1" applyAlignment="1">
      <x:alignment horizontal="center" vertical="center"/>
    </x:xf>
    <x:xf numFmtId="9" fontId="10" fillId="0" borderId="41" xfId="0" applyNumberFormat="1" applyFont="1" applyBorder="1" applyAlignment="1">
      <x:alignment horizontal="center" vertical="center"/>
    </x:xf>
    <x:xf numFmtId="9" fontId="10" fillId="0" borderId="42" xfId="0" applyNumberFormat="1" applyFont="1" applyBorder="1" applyAlignment="1">
      <x:alignment horizontal="center" vertical="center"/>
    </x:xf>
    <x:xf numFmtId="9" fontId="10" fillId="0" borderId="39" xfId="0" applyNumberFormat="1" applyFont="1" applyBorder="1" applyAlignment="1">
      <x:alignment horizontal="center" vertical="center"/>
    </x:xf>
    <x:xf numFmtId="9" fontId="10" fillId="0" borderId="40" xfId="0" applyNumberFormat="1" applyFont="1" applyBorder="1" applyAlignment="1">
      <x:alignment horizontal="center" vertical="center"/>
    </x:xf>
    <x:xf numFmtId="49" fontId="12" fillId="0" borderId="39" xfId="0" applyNumberFormat="1" applyFont="1" applyBorder="1" applyAlignment="1">
      <x:alignment horizontal="center" vertical="center"/>
    </x:xf>
    <x:xf numFmtId="49" fontId="12" fillId="0" borderId="45" xfId="0" applyNumberFormat="1" applyFont="1" applyBorder="1" applyAlignment="1">
      <x:alignment horizontal="center" vertical="center"/>
    </x:xf>
    <x:xf numFmtId="49" fontId="12" fillId="0" borderId="40" xfId="0" applyNumberFormat="1" applyFont="1" applyBorder="1" applyAlignment="1">
      <x:alignment horizontal="center" vertical="center"/>
    </x:xf>
    <x:xf numFmtId="49" fontId="10" fillId="0" borderId="43" xfId="0" applyNumberFormat="1" applyFont="1" applyBorder="1" applyAlignment="1">
      <x:alignment horizontal="center" vertical="center"/>
    </x:xf>
    <x:xf numFmtId="49" fontId="10" fillId="0" borderId="68" xfId="0" applyNumberFormat="1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49" fontId="10" fillId="0" borderId="44" xfId="0" applyNumberFormat="1" applyFont="1" applyBorder="1" applyAlignment="1">
      <x:alignment horizontal="center" vertical="center"/>
    </x:xf>
    <x:xf numFmtId="49" fontId="10" fillId="0" borderId="39" xfId="0" applyNumberFormat="1" applyFont="1" applyBorder="1" applyAlignment="1">
      <x:alignment horizontal="center" vertical="center"/>
    </x:xf>
    <x:xf numFmtId="49" fontId="10" fillId="0" borderId="60" xfId="0" applyNumberFormat="1" applyFont="1" applyBorder="1" applyAlignment="1">
      <x:alignment horizontal="center" vertical="center"/>
    </x:xf>
    <x:xf numFmtId="20" fontId="10" fillId="0" borderId="78" xfId="0" applyNumberFormat="1" applyFont="1" applyBorder="1" applyAlignment="1">
      <x:alignment horizontal="center" vertical="center"/>
    </x:xf>
    <x:xf numFmtId="20" fontId="10" fillId="0" borderId="79" xfId="0" applyNumberFormat="1" applyFont="1" applyBorder="1" applyAlignment="1">
      <x:alignment horizontal="center" vertical="center"/>
    </x:xf>
    <x:xf numFmtId="20" fontId="10" fillId="0" borderId="80" xfId="0" applyNumberFormat="1" applyFont="1" applyBorder="1" applyAlignment="1">
      <x:alignment horizontal="center" vertical="center"/>
    </x:xf>
    <x:xf numFmtId="20" fontId="10" fillId="0" borderId="15" xfId="0" applyNumberFormat="1" applyFont="1" applyBorder="1" applyAlignment="1">
      <x:alignment horizontal="center" vertical="center"/>
    </x:xf>
    <x:xf numFmtId="20" fontId="10" fillId="0" borderId="4" xfId="0" applyNumberFormat="1" applyFont="1" applyBorder="1" applyAlignment="1">
      <x:alignment horizontal="center" vertical="center"/>
    </x:xf>
    <x:xf numFmtId="20" fontId="10" fillId="0" borderId="5" xfId="0" applyNumberFormat="1" applyFont="1" applyBorder="1" applyAlignment="1">
      <x:alignment horizontal="center" vertical="center"/>
    </x:xf>
    <x:xf numFmtId="20" fontId="10" fillId="0" borderId="83" xfId="0" applyNumberFormat="1" applyFont="1" applyBorder="1" applyAlignment="1">
      <x:alignment horizontal="center" vertical="center"/>
    </x:xf>
    <x:xf numFmtId="20" fontId="10" fillId="0" borderId="84" xfId="0" applyNumberFormat="1" applyFont="1" applyBorder="1" applyAlignment="1">
      <x:alignment horizontal="center" vertical="center"/>
    </x:xf>
    <x:xf numFmtId="20" fontId="10" fillId="0" borderId="85" xfId="0" applyNumberFormat="1" applyFont="1" applyBorder="1" applyAlignment="1">
      <x:alignment horizontal="center" vertical="center"/>
    </x:xf>
    <x:xf numFmtId="0" fontId="8" fillId="3" borderId="15" xfId="0" applyFont="1" applyFill="1" applyBorder="1" applyAlignment="1">
      <x:alignment horizontal="left" vertical="center" wrapText="1"/>
    </x:xf>
    <x:xf numFmtId="0" fontId="8" fillId="3" borderId="4" xfId="0" applyFont="1" applyFill="1" applyBorder="1" applyAlignment="1">
      <x:alignment horizontal="left" vertical="center" wrapText="1"/>
    </x:xf>
    <x:xf numFmtId="0" fontId="8" fillId="3" borderId="5" xfId="0" applyFont="1" applyFill="1" applyBorder="1" applyAlignment="1">
      <x:alignment horizontal="left" vertical="center" wrapText="1"/>
    </x:xf>
    <x:xf numFmtId="0" fontId="8" fillId="3" borderId="8" xfId="0" applyFont="1" applyFill="1" applyBorder="1" applyAlignment="1">
      <x:alignment horizontal="left" vertical="center" wrapText="1"/>
    </x:xf>
    <x:xf numFmtId="0" fontId="8" fillId="3" borderId="9" xfId="0" applyFont="1" applyFill="1" applyBorder="1" applyAlignment="1">
      <x:alignment horizontal="left" vertical="center" wrapText="1"/>
    </x:xf>
    <x:xf numFmtId="0" fontId="8" fillId="3" borderId="10" xfId="0" applyFont="1" applyFill="1" applyBorder="1" applyAlignment="1">
      <x:alignment horizontal="left" vertical="center" wrapText="1"/>
    </x:xf>
    <x:xf numFmtId="0" fontId="7" fillId="0" borderId="1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8" xfId="0" applyFont="1" applyBorder="1" applyAlignment="1">
      <x:alignment horizontal="left" vertical="center"/>
    </x:xf>
    <x:xf numFmtId="0" fontId="7" fillId="0" borderId="9" xfId="0" applyFont="1" applyBorder="1" applyAlignment="1">
      <x:alignment horizontal="left" vertical="center"/>
    </x:xf>
    <x:xf numFmtId="0" fontId="7" fillId="0" borderId="10" xfId="0" applyFont="1" applyBorder="1" applyAlignment="1">
      <x:alignment horizontal="left" vertical="center"/>
    </x:xf>
    <x:xf numFmtId="0" fontId="8" fillId="2" borderId="15" xfId="0" applyFont="1" applyFill="1" applyBorder="1" applyAlignment="1">
      <x:alignment horizontal="right" vertical="center"/>
    </x:xf>
    <x:xf numFmtId="0" fontId="8" fillId="2" borderId="4" xfId="0" applyFont="1" applyFill="1" applyBorder="1" applyAlignment="1">
      <x:alignment horizontal="right" vertical="center"/>
    </x:xf>
    <x:xf numFmtId="0" fontId="8" fillId="2" borderId="5" xfId="0" applyFont="1" applyFill="1" applyBorder="1" applyAlignment="1">
      <x:alignment horizontal="right" vertical="center"/>
    </x:xf>
    <x:xf numFmtId="0" fontId="8" fillId="2" borderId="8" xfId="0" applyFont="1" applyFill="1" applyBorder="1" applyAlignment="1">
      <x:alignment horizontal="right" vertical="center"/>
    </x:xf>
    <x:xf numFmtId="0" fontId="8" fillId="2" borderId="9" xfId="0" applyFont="1" applyFill="1" applyBorder="1" applyAlignment="1">
      <x:alignment horizontal="right" vertical="center"/>
    </x:xf>
    <x:xf numFmtId="0" fontId="8" fillId="2" borderId="10" xfId="0" applyFont="1" applyFill="1" applyBorder="1" applyAlignment="1">
      <x:alignment horizontal="right" vertical="center"/>
    </x:xf>
    <x:xf numFmtId="20" fontId="11" fillId="0" borderId="43" xfId="0" applyNumberFormat="1" applyFont="1" applyBorder="1" applyAlignment="1">
      <x:alignment horizontal="center" vertical="center" wrapText="1"/>
    </x:xf>
    <x:xf numFmtId="20" fontId="11" fillId="0" borderId="44" xfId="0" applyNumberFormat="1" applyFont="1" applyBorder="1" applyAlignment="1">
      <x:alignment horizontal="center" vertical="center" wrapText="1"/>
    </x:xf>
    <x:xf numFmtId="20" fontId="11" fillId="0" borderId="41" xfId="0" applyNumberFormat="1" applyFont="1" applyBorder="1" applyAlignment="1">
      <x:alignment horizontal="center" vertical="center" wrapText="1"/>
    </x:xf>
    <x:xf numFmtId="20" fontId="11" fillId="0" borderId="42" xfId="0" applyNumberFormat="1" applyFont="1" applyBorder="1" applyAlignment="1">
      <x:alignment horizontal="center" vertical="center" wrapText="1"/>
    </x:xf>
    <x:xf numFmtId="49" fontId="12" fillId="0" borderId="39" xfId="0" applyNumberFormat="1" applyFont="1" applyBorder="1" applyAlignment="1">
      <x:alignment horizontal="center" vertical="center"/>
    </x:xf>
    <x:xf numFmtId="49" fontId="12" fillId="0" borderId="45" xfId="0" applyNumberFormat="1" applyFont="1" applyBorder="1" applyAlignment="1">
      <x:alignment horizontal="center" vertical="center"/>
    </x:xf>
    <x:xf numFmtId="49" fontId="12" fillId="0" borderId="40" xfId="0" applyNumberFormat="1" applyFont="1" applyBorder="1" applyAlignment="1">
      <x:alignment horizontal="center" vertical="center"/>
    </x:xf>
    <x:xf numFmtId="49" fontId="12" fillId="0" borderId="41" xfId="0" applyNumberFormat="1" applyFont="1" applyBorder="1" applyAlignment="1">
      <x:alignment horizontal="center" vertical="center"/>
    </x:xf>
    <x:xf numFmtId="49" fontId="12" fillId="0" borderId="57" xfId="0" applyNumberFormat="1" applyFont="1" applyBorder="1" applyAlignment="1">
      <x:alignment horizontal="center" vertical="center"/>
    </x:xf>
    <x:xf numFmtId="49" fontId="12" fillId="0" borderId="42" xfId="0" applyNumberFormat="1" applyFont="1" applyBorder="1" applyAlignment="1">
      <x:alignment horizontal="center" vertical="center"/>
    </x:xf>
    <x:xf numFmtId="49" fontId="10" fillId="0" borderId="59" xfId="0" applyNumberFormat="1" applyFont="1" applyBorder="1" applyAlignment="1">
      <x:alignment horizontal="center" vertical="center"/>
    </x:xf>
    <x:xf numFmtId="49" fontId="10" fillId="0" borderId="40" xfId="0" applyNumberFormat="1" applyFont="1" applyBorder="1" applyAlignment="1">
      <x:alignment horizontal="center" vertical="center"/>
    </x:xf>
    <x:xf numFmtId="49" fontId="10" fillId="0" borderId="39" xfId="0" applyNumberFormat="1" applyFont="1" applyBorder="1" applyAlignment="1">
      <x:alignment horizontal="center" vertical="center" wrapText="1"/>
    </x:xf>
    <x:xf numFmtId="49" fontId="10" fillId="0" borderId="40" xfId="0" applyNumberFormat="1" applyFont="1" applyBorder="1" applyAlignment="1">
      <x:alignment horizontal="center" vertical="center" wrapText="1"/>
    </x:xf>
    <x:xf numFmtId="49" fontId="10" fillId="0" borderId="43" xfId="0" applyNumberFormat="1" applyFont="1" applyBorder="1" applyAlignment="1">
      <x:alignment horizontal="center" vertical="center" wrapText="1"/>
    </x:xf>
    <x:xf numFmtId="49" fontId="10" fillId="0" borderId="44" xfId="0" applyNumberFormat="1" applyFont="1" applyBorder="1" applyAlignment="1">
      <x:alignment horizontal="center" vertical="center" wrapText="1"/>
    </x:xf>
    <x:xf numFmtId="49" fontId="10" fillId="0" borderId="70" xfId="0" applyNumberFormat="1" applyFont="1" applyBorder="1" applyAlignment="1">
      <x:alignment horizontal="center" vertical="center"/>
    </x:xf>
    <x:xf numFmtId="49" fontId="10" fillId="0" borderId="69" xfId="0" applyNumberFormat="1" applyFont="1" applyBorder="1" applyAlignment="1">
      <x:alignment horizontal="center" vertical="center"/>
    </x:xf>
    <x:xf numFmtId="49" fontId="10" fillId="0" borderId="42" xfId="0" applyNumberFormat="1" applyFont="1" applyBorder="1" applyAlignment="1">
      <x:alignment horizontal="center" vertical="center"/>
    </x:xf>
    <x:xf numFmtId="49" fontId="10" fillId="0" borderId="41" xfId="0" applyNumberFormat="1" applyFont="1" applyBorder="1" applyAlignment="1">
      <x:alignment horizontal="center" vertical="center" wrapText="1"/>
    </x:xf>
    <x:xf numFmtId="49" fontId="10" fillId="0" borderId="42" xfId="0" applyNumberFormat="1" applyFont="1" applyBorder="1" applyAlignment="1">
      <x:alignment horizontal="center" vertical="center" wrapText="1"/>
    </x:xf>
    <x:xf numFmtId="49" fontId="12" fillId="0" borderId="43" xfId="0" applyNumberFormat="1" applyFont="1" applyBorder="1" applyAlignment="1">
      <x:alignment horizontal="center" vertical="center"/>
    </x:xf>
    <x:xf numFmtId="49" fontId="12" fillId="0" borderId="58" xfId="0" applyNumberFormat="1" applyFont="1" applyBorder="1" applyAlignment="1">
      <x:alignment horizontal="center" vertical="center"/>
    </x:xf>
    <x:xf numFmtId="49" fontId="12" fillId="0" borderId="44" xfId="0" applyNumberFormat="1" applyFont="1" applyBorder="1" applyAlignment="1">
      <x:alignment horizontal="center" vertical="center"/>
    </x:xf>
    <x:xf numFmtId="0" fontId="8" fillId="2" borderId="15" xfId="0" applyFont="1" applyFill="1" applyBorder="1" applyAlignment="1">
      <x:alignment horizontal="center" vertical="center" wrapText="1"/>
    </x:xf>
    <x:xf numFmtId="0" fontId="8" fillId="2" borderId="4" xfId="0" applyFont="1" applyFill="1" applyBorder="1" applyAlignment="1">
      <x:alignment horizontal="center" vertical="center" wrapText="1"/>
    </x:xf>
    <x:xf numFmtId="0" fontId="8" fillId="2" borderId="5" xfId="0" applyFont="1" applyFill="1" applyBorder="1" applyAlignment="1">
      <x:alignment horizontal="center" vertical="center" wrapText="1"/>
    </x:xf>
    <x:xf numFmtId="0" fontId="8" fillId="2" borderId="8" xfId="0" applyFont="1" applyFill="1" applyBorder="1" applyAlignment="1">
      <x:alignment horizontal="center" vertical="center" wrapText="1"/>
    </x:xf>
    <x:xf numFmtId="0" fontId="8" fillId="2" borderId="9" xfId="0" applyFont="1" applyFill="1" applyBorder="1" applyAlignment="1">
      <x:alignment horizontal="center" vertical="center" wrapText="1"/>
    </x:xf>
    <x:xf numFmtId="0" fontId="8" fillId="2" borderId="10" xfId="0" applyFont="1" applyFill="1" applyBorder="1" applyAlignment="1">
      <x:alignment horizontal="center" vertical="center" wrapText="1"/>
    </x:xf>
    <x:xf numFmtId="0" fontId="7" fillId="3" borderId="15" xfId="0" applyFont="1" applyFill="1" applyBorder="1" applyAlignment="1">
      <x:alignment horizontal="center" vertical="center" wrapText="1"/>
    </x:xf>
    <x:xf numFmtId="0" fontId="7" fillId="3" borderId="4" xfId="0" applyFont="1" applyFill="1" applyBorder="1" applyAlignment="1">
      <x:alignment horizontal="center" vertical="center" wrapText="1"/>
    </x:xf>
    <x:xf numFmtId="0" fontId="7" fillId="3" borderId="5" xfId="0" applyFont="1" applyFill="1" applyBorder="1" applyAlignment="1">
      <x:alignment horizontal="center" vertical="center" wrapText="1"/>
    </x:xf>
    <x:xf numFmtId="0" fontId="7" fillId="3" borderId="8" xfId="0" applyFont="1" applyFill="1" applyBorder="1" applyAlignment="1">
      <x:alignment horizontal="center" vertical="center" wrapText="1"/>
    </x:xf>
    <x:xf numFmtId="0" fontId="7" fillId="3" borderId="9" xfId="0" applyFont="1" applyFill="1" applyBorder="1" applyAlignment="1">
      <x:alignment horizontal="center" vertical="center" wrapText="1"/>
    </x:xf>
    <x:xf numFmtId="0" fontId="7" fillId="3" borderId="10" xfId="0" applyFont="1" applyFill="1" applyBorder="1" applyAlignment="1">
      <x:alignment horizontal="center" vertical="center" wrapText="1"/>
    </x:xf>
    <x:xf numFmtId="0" fontId="8" fillId="2" borderId="62" xfId="0" applyFont="1" applyFill="1" applyBorder="1" applyAlignment="1">
      <x:alignment horizontal="center" vertical="center" wrapText="1"/>
    </x:xf>
    <x:xf numFmtId="0" fontId="8" fillId="2" borderId="21" xfId="0" applyFont="1" applyFill="1" applyBorder="1" applyAlignment="1">
      <x:alignment horizontal="center" vertical="center" wrapText="1"/>
    </x:xf>
    <x:xf numFmtId="0" fontId="8" fillId="2" borderId="63" xfId="0" applyFont="1" applyFill="1" applyBorder="1" applyAlignment="1">
      <x:alignment horizontal="center" vertical="center" wrapText="1"/>
    </x:xf>
    <x:xf numFmtId="0" fontId="8" fillId="3" borderId="62" xfId="0" applyFont="1" applyFill="1" applyBorder="1" applyAlignment="1">
      <x:alignment horizontal="center" vertical="center" wrapText="1"/>
    </x:xf>
    <x:xf numFmtId="0" fontId="8" fillId="3" borderId="63" xfId="0" applyFont="1" applyFill="1" applyBorder="1" applyAlignment="1">
      <x:alignment horizontal="center" vertical="center" wrapText="1"/>
    </x:xf>
    <x:xf numFmtId="0" fontId="8" fillId="3" borderId="15" xfId="0" applyFont="1" applyFill="1" applyBorder="1" applyAlignment="1">
      <x:alignment horizontal="center" vertical="center"/>
    </x:xf>
    <x:xf numFmtId="0" fontId="8" fillId="3" borderId="4" xfId="0" applyFont="1" applyFill="1" applyBorder="1" applyAlignment="1">
      <x:alignment horizontal="center" vertical="center"/>
    </x:xf>
    <x:xf numFmtId="0" fontId="8" fillId="3" borderId="5" xfId="0" applyFont="1" applyFill="1" applyBorder="1" applyAlignment="1">
      <x:alignment horizontal="center" vertical="center"/>
    </x:xf>
    <x:xf numFmtId="0" fontId="8" fillId="4" borderId="36" xfId="0" applyFont="1" applyFill="1" applyBorder="1" applyAlignment="1">
      <x:alignment horizontal="right" vertical="center" wrapText="1"/>
    </x:xf>
    <x:xf numFmtId="0" fontId="8" fillId="4" borderId="37" xfId="0" applyFont="1" applyFill="1" applyBorder="1" applyAlignment="1">
      <x:alignment horizontal="right" vertical="center" wrapText="1"/>
    </x:xf>
    <x:xf numFmtId="0" fontId="8" fillId="4" borderId="38" xfId="0" applyFont="1" applyFill="1" applyBorder="1" applyAlignment="1">
      <x:alignment horizontal="right" vertical="center" wrapText="1"/>
    </x:xf>
    <x:xf numFmtId="0" fontId="8" fillId="3" borderId="21" xfId="0" applyFont="1" applyFill="1" applyBorder="1" applyAlignment="1">
      <x:alignment horizontal="center" vertical="center" wrapText="1"/>
    </x:xf>
    <x:xf numFmtId="49" fontId="10" fillId="0" borderId="41" xfId="0" applyNumberFormat="1" applyFont="1" applyBorder="1" applyAlignment="1">
      <x:alignment horizontal="center" vertical="center"/>
    </x:xf>
    <x:xf numFmtId="9" fontId="10" fillId="0" borderId="43" xfId="0" applyNumberFormat="1" applyFont="1" applyBorder="1" applyAlignment="1">
      <x:alignment horizontal="center" vertical="center"/>
    </x:xf>
    <x:xf numFmtId="9" fontId="10" fillId="0" borderId="44" xfId="0" applyNumberFormat="1" applyFont="1" applyBorder="1" applyAlignment="1">
      <x:alignment horizontal="center" vertical="center"/>
    </x:xf>
    <x:xf numFmtId="9" fontId="10" fillId="0" borderId="39" xfId="0" applyNumberFormat="1" applyFont="1" applyBorder="1" applyAlignment="1">
      <x:alignment horizontal="center" vertical="center"/>
    </x:xf>
    <x:xf numFmtId="9" fontId="10" fillId="0" borderId="40" xfId="0" applyNumberFormat="1" applyFont="1" applyBorder="1" applyAlignment="1">
      <x:alignment horizontal="center" vertical="center"/>
    </x:xf>
    <x:xf numFmtId="49" fontId="8" fillId="2" borderId="62" xfId="0" applyNumberFormat="1" applyFont="1" applyFill="1" applyBorder="1" applyAlignment="1">
      <x:alignment horizontal="right" vertical="center" wrapText="1"/>
    </x:xf>
    <x:xf numFmtId="49" fontId="8" fillId="2" borderId="21" xfId="0" applyNumberFormat="1" applyFont="1" applyFill="1" applyBorder="1" applyAlignment="1">
      <x:alignment horizontal="right" vertical="center" wrapText="1"/>
    </x:xf>
    <x:xf numFmtId="49" fontId="8" fillId="2" borderId="63" xfId="0" applyNumberFormat="1" applyFont="1" applyFill="1" applyBorder="1" applyAlignment="1">
      <x:alignment horizontal="right" vertical="center" wrapText="1"/>
    </x:xf>
    <x:xf numFmtId="20" fontId="10" fillId="0" borderId="65" xfId="0" applyNumberFormat="1" applyFont="1" applyBorder="1" applyAlignment="1">
      <x:alignment horizontal="center" vertical="center"/>
    </x:xf>
    <x:xf numFmtId="20" fontId="10" fillId="0" borderId="66" xfId="0" applyNumberFormat="1" applyFont="1" applyBorder="1" applyAlignment="1">
      <x:alignment horizontal="center" vertical="center"/>
    </x:xf>
    <x:xf numFmtId="20" fontId="10" fillId="0" borderId="67" xfId="0" applyNumberFormat="1" applyFont="1" applyBorder="1" applyAlignment="1">
      <x:alignment horizontal="center" vertical="center"/>
    </x:xf>
    <x:xf numFmtId="16" fontId="8" fillId="2" borderId="22" xfId="0" applyNumberFormat="1" applyFont="1" applyFill="1" applyBorder="1" applyAlignment="1">
      <x:alignment horizontal="center" vertical="center"/>
    </x:xf>
    <x:xf numFmtId="0" fontId="8" fillId="2" borderId="64" xfId="0" applyFont="1" applyFill="1" applyBorder="1" applyAlignment="1">
      <x:alignment horizontal="center" vertical="center"/>
    </x:xf>
    <x:xf numFmtId="0" fontId="8" fillId="2" borderId="23" xfId="0" applyFont="1" applyFill="1" applyBorder="1" applyAlignment="1">
      <x:alignment horizontal="center" vertical="center"/>
    </x:xf>
    <x:xf numFmtId="0" fontId="8" fillId="2" borderId="22" xfId="0" applyFont="1" applyFill="1" applyBorder="1" applyAlignment="1">
      <x:alignment horizontal="center" vertical="center"/>
    </x:xf>
    <x:xf numFmtId="20" fontId="11" fillId="0" borderId="39" xfId="0" applyNumberFormat="1" applyFont="1" applyBorder="1" applyAlignment="1">
      <x:alignment horizontal="center" vertical="center" wrapText="1"/>
    </x:xf>
    <x:xf numFmtId="20" fontId="11" fillId="0" borderId="40" xfId="0" applyNumberFormat="1" applyFont="1" applyBorder="1" applyAlignment="1">
      <x:alignment horizontal="center" vertical="center" wrapText="1"/>
    </x:xf>
    <x:xf numFmtId="1" fontId="8" fillId="2" borderId="62" xfId="0" applyNumberFormat="1" applyFont="1" applyFill="1" applyBorder="1" applyAlignment="1">
      <x:alignment horizontal="center" vertical="center" wrapText="1"/>
    </x:xf>
    <x:xf numFmtId="1" fontId="8" fillId="2" borderId="21" xfId="0" applyNumberFormat="1" applyFont="1" applyFill="1" applyBorder="1" applyAlignment="1">
      <x:alignment horizontal="center" vertical="center" wrapText="1"/>
    </x:xf>
    <x:xf numFmtId="1" fontId="8" fillId="2" borderId="63" xfId="0" applyNumberFormat="1" applyFont="1" applyFill="1" applyBorder="1" applyAlignment="1">
      <x:alignment horizontal="center" vertical="center" wrapText="1"/>
    </x:xf>
    <x:xf numFmtId="0" fontId="8" fillId="2" borderId="9" xfId="0" applyFont="1" applyFill="1" applyBorder="1" applyAlignment="1">
      <x:alignment horizontal="center" vertical="center"/>
    </x:xf>
    <x:xf numFmtId="0" fontId="8" fillId="2" borderId="10" xfId="0" applyFont="1" applyFill="1" applyBorder="1" applyAlignment="1">
      <x:alignment horizontal="center" vertical="center"/>
    </x:xf>
    <x:xf numFmtId="0" fontId="7" fillId="3" borderId="46" xfId="0" applyFont="1" applyFill="1" applyBorder="1" applyAlignment="1">
      <x:alignment horizontal="left" vertical="center" wrapText="1"/>
    </x:xf>
    <x:xf numFmtId="0" fontId="7" fillId="3" borderId="47" xfId="0" applyFont="1" applyFill="1" applyBorder="1" applyAlignment="1">
      <x:alignment horizontal="left" vertical="center" wrapText="1"/>
    </x:xf>
    <x:xf numFmtId="0" fontId="8" fillId="3" borderId="62" xfId="0" applyFont="1" applyFill="1" applyBorder="1" applyAlignment="1">
      <x:alignment horizontal="center" vertical="center"/>
    </x:xf>
    <x:xf numFmtId="0" fontId="8" fillId="3" borderId="21" xfId="0" applyFont="1" applyFill="1" applyBorder="1" applyAlignment="1">
      <x:alignment horizontal="center" vertical="center"/>
    </x:xf>
    <x:xf numFmtId="0" fontId="8" fillId="3" borderId="63" xfId="0" applyFont="1" applyFill="1" applyBorder="1" applyAlignment="1">
      <x:alignment horizontal="center" vertical="center"/>
    </x:xf>
    <x:xf numFmtId="0" fontId="11" fillId="0" borderId="36" xfId="0" applyFont="1" applyBorder="1" applyAlignment="1">
      <x:alignment horizontal="center" vertical="center"/>
    </x:xf>
    <x:xf numFmtId="0" fontId="11" fillId="0" borderId="37" xfId="0" applyFont="1" applyBorder="1" applyAlignment="1">
      <x:alignment horizontal="center" vertical="center"/>
    </x:xf>
    <x:xf numFmtId="0" fontId="11" fillId="0" borderId="38" xfId="0" applyFont="1" applyBorder="1" applyAlignment="1">
      <x:alignment horizontal="center" vertical="center"/>
    </x:xf>
    <x:xf numFmtId="1" fontId="8" fillId="2" borderId="15" xfId="0" applyNumberFormat="1" applyFont="1" applyFill="1" applyBorder="1" applyAlignment="1">
      <x:alignment horizontal="center" vertical="center" wrapText="1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46" xfId="0" applyFont="1" applyBorder="1" applyAlignment="1">
      <x:alignment horizontal="center" vertical="center"/>
    </x:xf>
    <x:xf numFmtId="0" fontId="7" fillId="3" borderId="34" xfId="0" applyFont="1" applyFill="1" applyBorder="1" applyAlignment="1">
      <x:alignment horizontal="left" vertical="center" wrapText="1"/>
    </x:xf>
    <x:xf numFmtId="0" fontId="7" fillId="3" borderId="35" xfId="0" applyFont="1" applyFill="1" applyBorder="1" applyAlignment="1">
      <x:alignment horizontal="left" vertical="center" wrapText="1"/>
    </x:xf>
    <x:xf numFmtId="0" fontId="8" fillId="4" borderId="48" xfId="0" applyFont="1" applyFill="1" applyBorder="1" applyAlignment="1">
      <x:alignment horizontal="center" vertical="center" wrapText="1"/>
    </x:xf>
    <x:xf numFmtId="0" fontId="8" fillId="4" borderId="49" xfId="0" applyFont="1" applyFill="1" applyBorder="1" applyAlignment="1">
      <x:alignment horizontal="center" vertical="center" wrapText="1"/>
    </x:xf>
    <x:xf numFmtId="0" fontId="8" fillId="4" borderId="50" xfId="0" applyFont="1" applyFill="1" applyBorder="1" applyAlignment="1">
      <x:alignment horizontal="center" vertical="center" wrapText="1"/>
    </x:xf>
    <x:xf numFmtId="0" fontId="8" fillId="4" borderId="3" xfId="0" applyFont="1" applyFill="1" applyBorder="1" applyAlignment="1">
      <x:alignment horizontal="center" vertical="center" wrapText="1"/>
    </x:xf>
    <x:xf numFmtId="0" fontId="8" fillId="4" borderId="34" xfId="0" applyFont="1" applyFill="1" applyBorder="1" applyAlignment="1">
      <x:alignment horizontal="center" vertical="center" wrapText="1"/>
    </x:xf>
    <x:xf numFmtId="0" fontId="8" fillId="4" borderId="35" xfId="0" applyFont="1" applyFill="1" applyBorder="1" applyAlignment="1">
      <x:alignment horizontal="center" vertical="center" wrapText="1"/>
    </x:xf>
    <x:xf numFmtId="0" fontId="8" fillId="2" borderId="15" xfId="0" applyFont="1" applyFill="1" applyBorder="1" applyAlignment="1">
      <x:alignment horizontal="center" vertical="center"/>
    </x:xf>
    <x:xf numFmtId="0" fontId="8" fillId="2" borderId="4" xfId="0" applyFont="1" applyFill="1" applyBorder="1" applyAlignment="1">
      <x:alignment horizontal="center" vertical="center"/>
    </x:xf>
    <x:xf numFmtId="0" fontId="8" fillId="2" borderId="5" xfId="0" applyFont="1" applyFill="1" applyBorder="1" applyAlignment="1">
      <x:alignment horizontal="center" vertical="center"/>
    </x:xf>
    <x:xf numFmtId="0" fontId="8" fillId="2" borderId="8" xfId="0" applyFont="1" applyFill="1" applyBorder="1" applyAlignment="1">
      <x:alignment horizontal="center" vertical="center"/>
    </x:xf>
    <x:xf numFmtId="0" fontId="8" fillId="3" borderId="15" xfId="0" applyFont="1" applyFill="1" applyBorder="1" applyAlignment="1">
      <x:alignment horizontal="center" vertical="center" wrapText="1"/>
    </x:xf>
    <x:xf numFmtId="0" fontId="8" fillId="3" borderId="4" xfId="0" applyFont="1" applyFill="1" applyBorder="1" applyAlignment="1">
      <x:alignment horizontal="center" vertical="center" wrapText="1"/>
    </x:xf>
    <x:xf numFmtId="0" fontId="8" fillId="3" borderId="5" xfId="0" applyFont="1" applyFill="1" applyBorder="1" applyAlignment="1">
      <x:alignment horizontal="center" vertical="center" wrapText="1"/>
    </x:xf>
    <x:xf numFmtId="0" fontId="8" fillId="3" borderId="8" xfId="0" applyFont="1" applyFill="1" applyBorder="1" applyAlignment="1">
      <x:alignment horizontal="center" vertical="center" wrapText="1"/>
    </x:xf>
    <x:xf numFmtId="0" fontId="8" fillId="3" borderId="9" xfId="0" applyFont="1" applyFill="1" applyBorder="1" applyAlignment="1">
      <x:alignment horizontal="center" vertical="center" wrapText="1"/>
    </x:xf>
    <x:xf numFmtId="0" fontId="8" fillId="3" borderId="10" xfId="0" applyFont="1" applyFill="1" applyBorder="1" applyAlignment="1">
      <x:alignment horizontal="center" vertical="center" wrapText="1"/>
    </x:xf>
    <x:xf numFmtId="0" fontId="8" fillId="2" borderId="62" xfId="0" applyFont="1" applyFill="1" applyBorder="1" applyAlignment="1">
      <x:alignment horizontal="right" vertical="center" wrapText="1"/>
    </x:xf>
    <x:xf numFmtId="0" fontId="8" fillId="2" borderId="21" xfId="0" applyFont="1" applyFill="1" applyBorder="1" applyAlignment="1">
      <x:alignment horizontal="right" vertical="center" wrapText="1"/>
    </x:xf>
    <x:xf numFmtId="0" fontId="8" fillId="2" borderId="63" xfId="0" applyFont="1" applyFill="1" applyBorder="1" applyAlignment="1">
      <x:alignment horizontal="right" vertical="center" wrapText="1"/>
    </x:xf>
    <x:xf numFmtId="0" fontId="23" fillId="0" borderId="15" xfId="0" applyFont="1" applyBorder="1" applyAlignment="1">
      <x:alignment horizontal="center" vertical="center"/>
    </x:xf>
    <x:xf numFmtId="0" fontId="22" fillId="0" borderId="4" xfId="0" applyFont="1" applyBorder="1" applyAlignment="1">
      <x:alignment horizontal="center" vertical="center"/>
    </x:xf>
    <x:xf numFmtId="0" fontId="22" fillId="0" borderId="5" xfId="0" applyFont="1" applyBorder="1" applyAlignment="1">
      <x:alignment horizontal="center" vertical="center"/>
    </x:xf>
    <x:xf numFmtId="0" fontId="22" fillId="0" borderId="8" xfId="0" applyFont="1" applyBorder="1" applyAlignment="1">
      <x:alignment horizontal="center" vertical="center"/>
    </x:xf>
    <x:xf numFmtId="0" fontId="22" fillId="0" borderId="9" xfId="0" applyFont="1" applyBorder="1" applyAlignment="1">
      <x:alignment horizontal="center" vertical="center"/>
    </x:xf>
    <x:xf numFmtId="0" fontId="22" fillId="0" borderId="10" xfId="0" applyFont="1" applyBorder="1" applyAlignment="1">
      <x:alignment horizontal="center" vertical="center"/>
    </x:xf>
    <x:xf numFmtId="0" fontId="7" fillId="3" borderId="16" xfId="0" applyFont="1" applyFill="1" applyBorder="1" applyAlignment="1">
      <x:alignment horizontal="center" vertical="center"/>
    </x:xf>
    <x:xf numFmtId="0" fontId="6" fillId="5" borderId="0" xfId="0" applyFont="1" applyFill="1" applyAlignment="1">
      <x:alignment horizontal="center" vertical="center"/>
    </x:xf>
    <x:xf numFmtId="0" fontId="6" fillId="5" borderId="16" xfId="0" applyFont="1" applyFill="1" applyBorder="1" applyAlignment="1">
      <x:alignment horizontal="center" vertical="center"/>
    </x:xf>
    <x:xf numFmtId="0" fontId="6" fillId="5" borderId="53" xfId="0" applyFont="1" applyFill="1" applyBorder="1" applyAlignment="1">
      <x:alignment vertical="center"/>
    </x:xf>
    <x:xf numFmtId="0" fontId="6" fillId="5" borderId="54" xfId="0" applyFont="1" applyFill="1" applyBorder="1" applyAlignment="1">
      <x:alignment vertical="center"/>
    </x:xf>
    <x:xf numFmtId="0" fontId="6" fillId="5" borderId="55" xfId="0" applyFont="1" applyFill="1" applyBorder="1" applyAlignment="1">
      <x:alignment vertical="center"/>
    </x:xf>
    <x:xf numFmtId="0" fontId="6" fillId="5" borderId="56" xfId="0" applyFont="1" applyFill="1" applyBorder="1" applyAlignment="1">
      <x:alignment vertical="center"/>
    </x:xf>
    <x:xf numFmtId="0" fontId="7" fillId="4" borderId="36" xfId="0" applyFont="1" applyFill="1" applyBorder="1" applyAlignment="1">
      <x:alignment horizontal="right" vertical="center"/>
    </x:xf>
    <x:xf numFmtId="0" fontId="7" fillId="4" borderId="37" xfId="0" applyFont="1" applyFill="1" applyBorder="1" applyAlignment="1">
      <x:alignment horizontal="right" vertical="center"/>
    </x:xf>
    <x:xf numFmtId="0" fontId="7" fillId="4" borderId="38" xfId="0" applyFont="1" applyFill="1" applyBorder="1" applyAlignment="1">
      <x:alignment horizontal="right" vertical="center"/>
    </x:xf>
    <x:xf numFmtId="0" fontId="7" fillId="3" borderId="100" xfId="0" applyFont="1" applyFill="1" applyBorder="1" applyAlignment="1">
      <x:alignment horizontal="center" vertical="center"/>
    </x:xf>
    <x:xf numFmtId="0" fontId="7" fillId="3" borderId="101" xfId="0" applyFont="1" applyFill="1" applyBorder="1" applyAlignment="1">
      <x:alignment horizontal="center" vertical="center"/>
    </x:xf>
    <x:xf numFmtId="0" fontId="7" fillId="3" borderId="102" xfId="0" applyFont="1" applyFill="1" applyBorder="1" applyAlignment="1">
      <x:alignment horizontal="center" vertical="center"/>
    </x:xf>
    <x:xf numFmtId="0" fontId="7" fillId="4" borderId="15" xfId="0" applyFont="1" applyFill="1" applyBorder="1" applyAlignment="1">
      <x:alignment horizontal="right" vertical="center"/>
    </x:xf>
    <x:xf numFmtId="0" fontId="7" fillId="4" borderId="4" xfId="0" applyFont="1" applyFill="1" applyBorder="1" applyAlignment="1">
      <x:alignment horizontal="right" vertical="center"/>
    </x:xf>
    <x:xf numFmtId="0" fontId="7" fillId="4" borderId="5" xfId="0" applyFont="1" applyFill="1" applyBorder="1" applyAlignment="1">
      <x:alignment horizontal="right" vertical="center"/>
    </x:xf>
    <x:xf numFmtId="0" fontId="7" fillId="4" borderId="8" xfId="0" applyFont="1" applyFill="1" applyBorder="1" applyAlignment="1">
      <x:alignment horizontal="right" vertical="center"/>
    </x:xf>
    <x:xf numFmtId="0" fontId="7" fillId="4" borderId="9" xfId="0" applyFont="1" applyFill="1" applyBorder="1" applyAlignment="1">
      <x:alignment horizontal="right" vertical="center"/>
    </x:xf>
    <x:xf numFmtId="0" fontId="7" fillId="4" borderId="10" xfId="0" applyFont="1" applyFill="1" applyBorder="1" applyAlignment="1">
      <x:alignment horizontal="right" vertical="center"/>
    </x:xf>
    <x:xf numFmtId="0" fontId="5" fillId="0" borderId="15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8" xfId="0" applyFont="1" applyBorder="1" applyAlignment="1">
      <x:alignment horizontal="center" vertical="center"/>
    </x:xf>
    <x:xf numFmtId="0" fontId="5" fillId="0" borderId="9" xfId="0" applyFont="1" applyBorder="1" applyAlignment="1">
      <x:alignment horizontal="center" vertical="center"/>
    </x:xf>
    <x:xf numFmtId="0" fontId="5" fillId="0" borderId="10" xfId="0" applyFont="1" applyBorder="1" applyAlignment="1">
      <x:alignment horizontal="center" vertical="center"/>
    </x:xf>
    <x:xf numFmtId="0" fontId="7" fillId="3" borderId="15" xfId="0" applyFont="1" applyFill="1" applyBorder="1" applyAlignment="1">
      <x:alignment horizontal="left" vertical="center" wrapText="1"/>
    </x:xf>
    <x:xf numFmtId="0" fontId="7" fillId="3" borderId="4" xfId="0" applyFont="1" applyFill="1" applyBorder="1" applyAlignment="1">
      <x:alignment horizontal="left" vertical="center" wrapText="1"/>
    </x:xf>
    <x:xf numFmtId="0" fontId="7" fillId="3" borderId="5" xfId="0" applyFont="1" applyFill="1" applyBorder="1" applyAlignment="1">
      <x:alignment horizontal="left" vertical="center" wrapText="1"/>
    </x:xf>
    <x:xf numFmtId="0" fontId="7" fillId="3" borderId="8" xfId="0" applyFont="1" applyFill="1" applyBorder="1" applyAlignment="1">
      <x:alignment horizontal="left" vertical="center" wrapText="1"/>
    </x:xf>
    <x:xf numFmtId="0" fontId="7" fillId="3" borderId="9" xfId="0" applyFont="1" applyFill="1" applyBorder="1" applyAlignment="1">
      <x:alignment horizontal="left" vertical="center" wrapText="1"/>
    </x:xf>
    <x:xf numFmtId="0" fontId="7" fillId="3" borderId="10" xfId="0" applyFont="1" applyFill="1" applyBorder="1" applyAlignment="1">
      <x:alignment horizontal="left" vertical="center" wrapText="1"/>
    </x:xf>
    <x:xf numFmtId="0" fontId="7" fillId="4" borderId="15" xfId="0" applyFont="1" applyFill="1" applyBorder="1" applyAlignment="1">
      <x:alignment horizontal="center" vertical="center"/>
    </x:xf>
    <x:xf numFmtId="0" fontId="7" fillId="4" borderId="4" xfId="0" applyFont="1" applyFill="1" applyBorder="1" applyAlignment="1">
      <x:alignment horizontal="center" vertical="center"/>
    </x:xf>
    <x:xf numFmtId="0" fontId="7" fillId="4" borderId="5" xfId="0" applyFont="1" applyFill="1" applyBorder="1" applyAlignment="1">
      <x:alignment horizontal="center" vertical="center"/>
    </x:xf>
    <x:xf numFmtId="0" fontId="7" fillId="4" borderId="8" xfId="0" applyFont="1" applyFill="1" applyBorder="1" applyAlignment="1">
      <x:alignment horizontal="center" vertical="center"/>
    </x:xf>
    <x:xf numFmtId="0" fontId="7" fillId="4" borderId="9" xfId="0" applyFont="1" applyFill="1" applyBorder="1" applyAlignment="1">
      <x:alignment horizontal="center" vertical="center"/>
    </x:xf>
    <x:xf numFmtId="0" fontId="7" fillId="4" borderId="10" xfId="0" applyFont="1" applyFill="1" applyBorder="1" applyAlignment="1">
      <x:alignment horizontal="center" vertical="center"/>
    </x:xf>
    <x:xf numFmtId="0" fontId="8" fillId="4" borderId="36" xfId="0" applyFont="1" applyFill="1" applyBorder="1" applyAlignment="1">
      <x:alignment horizontal="right" vertical="center"/>
    </x:xf>
    <x:xf numFmtId="0" fontId="7" fillId="4" borderId="62" xfId="0" applyFont="1" applyFill="1" applyBorder="1" applyAlignment="1">
      <x:alignment horizontal="center" vertical="center"/>
    </x:xf>
    <x:xf numFmtId="0" fontId="7" fillId="4" borderId="21" xfId="0" applyFont="1" applyFill="1" applyBorder="1" applyAlignment="1">
      <x:alignment horizontal="center" vertical="center"/>
    </x:xf>
    <x:xf numFmtId="0" fontId="7" fillId="4" borderId="63" xfId="0" applyFont="1" applyFill="1" applyBorder="1" applyAlignment="1">
      <x:alignment horizontal="center" vertical="center"/>
    </x:xf>
    <x:xf numFmtId="0" fontId="8" fillId="4" borderId="8" xfId="0" applyFont="1" applyFill="1" applyBorder="1" applyAlignment="1">
      <x:alignment horizontal="right" vertical="center"/>
    </x:xf>
    <x:xf numFmtId="0" fontId="8" fillId="4" borderId="9" xfId="0" applyFont="1" applyFill="1" applyBorder="1" applyAlignment="1">
      <x:alignment horizontal="right" vertical="center"/>
    </x:xf>
    <x:xf numFmtId="0" fontId="8" fillId="4" borderId="10" xfId="0" applyFont="1" applyFill="1" applyBorder="1" applyAlignment="1">
      <x:alignment horizontal="right" vertical="center"/>
    </x:xf>
    <x:xf numFmtId="0" fontId="8" fillId="0" borderId="97" xfId="0" applyFont="1" applyBorder="1" applyAlignment="1">
      <x:alignment horizontal="center" vertical="center"/>
    </x:xf>
    <x:xf numFmtId="0" fontId="8" fillId="0" borderId="3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20" fontId="10" fillId="0" borderId="95" xfId="0" applyNumberFormat="1" applyFont="1" applyBorder="1" applyAlignment="1">
      <x:alignment horizontal="center" vertical="center"/>
    </x:xf>
    <x:xf numFmtId="0" fontId="10" fillId="0" borderId="96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20" fontId="10" fillId="0" borderId="97" xfId="0" applyNumberFormat="1" applyFont="1" applyBorder="1" applyAlignment="1">
      <x:alignment horizontal="center" vertical="center"/>
    </x:xf>
    <x:xf numFmtId="0" fontId="10" fillId="0" borderId="3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7" fillId="4" borderId="100" xfId="0" applyFont="1" applyFill="1" applyBorder="1" applyAlignment="1">
      <x:alignment horizontal="center" vertical="center"/>
    </x:xf>
    <x:xf numFmtId="0" fontId="7" fillId="4" borderId="101" xfId="0" applyFont="1" applyFill="1" applyBorder="1" applyAlignment="1">
      <x:alignment horizontal="center" vertical="center"/>
    </x:xf>
    <x:xf numFmtId="0" fontId="7" fillId="4" borderId="102" xfId="0" applyFont="1" applyFill="1" applyBorder="1" applyAlignment="1">
      <x:alignment horizontal="center" vertical="center"/>
    </x:xf>
    <x:xf numFmtId="0" fontId="8" fillId="0" borderId="98" xfId="0" applyFont="1" applyBorder="1" applyAlignment="1">
      <x:alignment horizontal="center" vertical="center"/>
    </x:xf>
    <x:xf numFmtId="0" fontId="8" fillId="0" borderId="99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5" fillId="3" borderId="15" xfId="0" applyFont="1" applyFill="1" applyBorder="1" applyAlignment="1">
      <x:alignment horizontal="left" vertical="center" wrapText="1"/>
    </x:xf>
    <x:xf numFmtId="0" fontId="5" fillId="3" borderId="4" xfId="0" applyFont="1" applyFill="1" applyBorder="1" applyAlignment="1">
      <x:alignment horizontal="left" vertical="center" wrapText="1"/>
    </x:xf>
    <x:xf numFmtId="0" fontId="5" fillId="3" borderId="5" xfId="0" applyFont="1" applyFill="1" applyBorder="1" applyAlignment="1">
      <x:alignment horizontal="left" vertical="center" wrapText="1"/>
    </x:xf>
    <x:xf numFmtId="0" fontId="5" fillId="3" borderId="8" xfId="0" applyFont="1" applyFill="1" applyBorder="1" applyAlignment="1">
      <x:alignment horizontal="left" vertical="center" wrapText="1"/>
    </x:xf>
    <x:xf numFmtId="0" fontId="5" fillId="3" borderId="9" xfId="0" applyFont="1" applyFill="1" applyBorder="1" applyAlignment="1">
      <x:alignment horizontal="left" vertical="center" wrapText="1"/>
    </x:xf>
    <x:xf numFmtId="0" fontId="5" fillId="3" borderId="10" xfId="0" applyFont="1" applyFill="1" applyBorder="1" applyAlignment="1">
      <x:alignment horizontal="left" vertical="center" wrapText="1"/>
    </x:xf>
    <x:xf numFmtId="20" fontId="10" fillId="0" borderId="98" xfId="0" applyNumberFormat="1" applyFont="1" applyBorder="1" applyAlignment="1">
      <x:alignment horizontal="center" vertical="center"/>
    </x:xf>
    <x:xf numFmtId="0" fontId="10" fillId="0" borderId="99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164" fontId="10" fillId="0" borderId="95" xfId="0" applyNumberFormat="1" applyFont="1" applyBorder="1" applyAlignment="1">
      <x:alignment horizontal="center" vertical="center"/>
    </x:xf>
    <x:xf numFmtId="164" fontId="10" fillId="0" borderId="96" xfId="0" applyNumberFormat="1" applyFont="1" applyBorder="1" applyAlignment="1">
      <x:alignment horizontal="center" vertical="center"/>
    </x:xf>
    <x:xf numFmtId="164" fontId="10" fillId="0" borderId="25" xfId="0" applyNumberFormat="1" applyFont="1" applyBorder="1" applyAlignment="1">
      <x:alignment horizontal="center" vertical="center"/>
    </x:xf>
    <x:xf numFmtId="164" fontId="10" fillId="9" borderId="95" xfId="0" applyNumberFormat="1" applyFont="1" applyFill="1" applyBorder="1" applyAlignment="1">
      <x:alignment horizontal="center" vertical="center"/>
    </x:xf>
    <x:xf numFmtId="164" fontId="10" fillId="9" borderId="96" xfId="0" applyNumberFormat="1" applyFont="1" applyFill="1" applyBorder="1" applyAlignment="1">
      <x:alignment horizontal="center" vertical="center"/>
    </x:xf>
    <x:xf numFmtId="164" fontId="10" fillId="9" borderId="2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7">
    <x:dxf>
      <x:fill>
        <x:patternFill>
          <x:bgColor indexed="60"/>
        </x:patternFill>
      </x:fill>
    </x:dxf>
    <x:dxf>
      <x:fill>
        <x:patternFill>
          <x:bgColor indexed="60"/>
        </x:patternFill>
      </x:fill>
    </x:dxf>
    <x:dxf>
      <x:fill>
        <x:patternFill>
          <x:bgColor indexed="60"/>
        </x:patternFill>
      </x:fill>
    </x:dxf>
    <x:dxf>
      <x:fill>
        <x:patternFill>
          <x:bgColor indexed="60"/>
        </x:patternFill>
      </x:fill>
    </x:dxf>
    <x:dxf>
      <x:fill>
        <x:patternFill>
          <x:bgColor indexed="60"/>
        </x:patternFill>
      </x:fill>
    </x:dxf>
    <x:dxf>
      <x:fill>
        <x:patternFill>
          <x:bgColor indexed="60"/>
        </x:patternFill>
      </x:fill>
    </x:dxf>
    <x:dxf>
      <x:font>
        <x:color auto="1"/>
      </x:font>
      <x:fill>
        <x:patternFill>
          <x:bgColor indexed="60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5172"/>
      <x:rgbColor rgb="00ABD0D9"/>
      <x:rgbColor rgb="00000080"/>
      <x:rgbColor rgb="0070B6C2"/>
      <x:rgbColor rgb="00800080"/>
      <x:rgbColor rgb="00808080"/>
      <x:rgbColor rgb="00C0C0C0"/>
      <x:rgbColor rgb="00808080"/>
      <x:rgbColor rgb="00005172"/>
      <x:rgbColor rgb="003A9FBE"/>
      <x:rgbColor rgb="0070B6C2"/>
      <x:rgbColor rgb="00ABD0D9"/>
      <x:rgbColor rgb="00808080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3A9FBE"/>
      <x:rgbColor rgb="00666699"/>
      <x:rgbColor rgb="00969696"/>
      <x:rgbColor rgb="00003366"/>
      <x:rgbColor rgb="00339966"/>
      <x:rgbColor rgb="00003300"/>
      <x:rgbColor rgb="00333300"/>
      <x:rgbColor rgb="00F1F1F1"/>
      <x:rgbColor rgb="00C6DEF6"/>
      <x:rgbColor rgb="00DEDEDE"/>
      <x:rgbColor rgb="001A559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5a884f1b54089" /><Relationship Type="http://schemas.openxmlformats.org/officeDocument/2006/relationships/theme" Target="/xl/theme/theme1.xml" Id="R6abb39cf07ea4e38" /><Relationship Type="http://schemas.openxmlformats.org/officeDocument/2006/relationships/sharedStrings" Target="/xl/sharedStrings.xml" Id="R1f251d6296e74259" /><Relationship Type="http://schemas.openxmlformats.org/officeDocument/2006/relationships/worksheet" Target="/xl/worksheets/sheet1.xml" Id="R3f9ff08da8584cc5" /><Relationship Type="http://schemas.microsoft.com/office/2017/10/relationships/person" Target="/xl/persons/person.xml" Id="R48b2732c042f41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32a13cf42e34d42" /></Relationships>
</file>

<file path=xl/drawings/drawing1.xml><?xml version="1.0" encoding="utf-8"?>
<xdr:wsDr xmlns:xdr="http://schemas.openxmlformats.org/drawingml/2006/spreadsheetDrawing">
  <xdr:twoCellAnchor editAs="oneCell">
    <xdr:from>
      <xdr:col>13</xdr:col>
      <xdr:colOff>9525</xdr:colOff>
      <xdr:row>11</xdr:row>
      <xdr:rowOff>0</xdr:rowOff>
    </xdr:from>
    <xdr:to>
      <xdr:col>13</xdr:col>
      <xdr:colOff>19050</xdr:colOff>
      <xdr:row>32</xdr:row>
      <xdr:rowOff>19050</xdr:rowOff>
    </xdr:to>
    <xdr:sp>
      <xdr:nvSpPr>
        <xdr:cNvPr id="1" name="Auto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248150" y="3305175"/>
          <a:ext cx="9525" cy="9820275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12</xdr:col>
      <xdr:colOff>38100</xdr:colOff>
      <xdr:row>11</xdr:row>
      <xdr:rowOff>0</xdr:rowOff>
    </xdr:from>
    <xdr:to>
      <xdr:col>12</xdr:col>
      <xdr:colOff>47625</xdr:colOff>
      <xdr:row>31</xdr:row>
      <xdr:rowOff>457200</xdr:rowOff>
    </xdr:to>
    <xdr:sp>
      <xdr:nvSpPr>
        <xdr:cNvPr id="2" name="AutoShape 4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952875" y="3305175"/>
          <a:ext cx="9525" cy="97917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13</xdr:col>
      <xdr:colOff>295275</xdr:colOff>
      <xdr:row>11</xdr:row>
      <xdr:rowOff>0</xdr:rowOff>
    </xdr:from>
    <xdr:to>
      <xdr:col>13</xdr:col>
      <xdr:colOff>304800</xdr:colOff>
      <xdr:row>31</xdr:row>
      <xdr:rowOff>457200</xdr:rowOff>
    </xdr:to>
    <xdr:sp>
      <xdr:nvSpPr>
        <xdr:cNvPr id="3" name="AutoShape 4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533900" y="3305175"/>
          <a:ext cx="9525" cy="97917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19</xdr:col>
      <xdr:colOff>9525</xdr:colOff>
      <xdr:row>11</xdr:row>
      <xdr:rowOff>0</xdr:rowOff>
    </xdr:from>
    <xdr:to>
      <xdr:col>19</xdr:col>
      <xdr:colOff>19050</xdr:colOff>
      <xdr:row>31</xdr:row>
      <xdr:rowOff>457200</xdr:rowOff>
    </xdr:to>
    <xdr:sp>
      <xdr:nvSpPr>
        <xdr:cNvPr id="4" name="AutoShape 5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229350" y="3305175"/>
          <a:ext cx="9525" cy="97917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19</xdr:col>
      <xdr:colOff>295275</xdr:colOff>
      <xdr:row>11</xdr:row>
      <xdr:rowOff>0</xdr:rowOff>
    </xdr:from>
    <xdr:to>
      <xdr:col>19</xdr:col>
      <xdr:colOff>304800</xdr:colOff>
      <xdr:row>31</xdr:row>
      <xdr:rowOff>457200</xdr:rowOff>
    </xdr:to>
    <xdr:sp>
      <xdr:nvSpPr>
        <xdr:cNvPr id="5" name="AutoShape 5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515100" y="3305175"/>
          <a:ext cx="9525" cy="97917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23</xdr:col>
      <xdr:colOff>9525</xdr:colOff>
      <xdr:row>11</xdr:row>
      <xdr:rowOff>0</xdr:rowOff>
    </xdr:from>
    <xdr:to>
      <xdr:col>23</xdr:col>
      <xdr:colOff>19050</xdr:colOff>
      <xdr:row>31</xdr:row>
      <xdr:rowOff>457200</xdr:rowOff>
    </xdr:to>
    <xdr:sp>
      <xdr:nvSpPr>
        <xdr:cNvPr id="6" name="AutoShape 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524750" y="3305175"/>
          <a:ext cx="9525" cy="97917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22</xdr:col>
      <xdr:colOff>38100</xdr:colOff>
      <xdr:row>11</xdr:row>
      <xdr:rowOff>0</xdr:rowOff>
    </xdr:from>
    <xdr:to>
      <xdr:col>22</xdr:col>
      <xdr:colOff>47625</xdr:colOff>
      <xdr:row>31</xdr:row>
      <xdr:rowOff>457200</xdr:rowOff>
    </xdr:to>
    <xdr:sp>
      <xdr:nvSpPr>
        <xdr:cNvPr id="7" name="AutoShape 5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229475" y="3305175"/>
          <a:ext cx="9525" cy="97917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23</xdr:col>
      <xdr:colOff>295275</xdr:colOff>
      <xdr:row>11</xdr:row>
      <xdr:rowOff>0</xdr:rowOff>
    </xdr:from>
    <xdr:to>
      <xdr:col>23</xdr:col>
      <xdr:colOff>304800</xdr:colOff>
      <xdr:row>31</xdr:row>
      <xdr:rowOff>457200</xdr:rowOff>
    </xdr:to>
    <xdr:sp>
      <xdr:nvSpPr>
        <xdr:cNvPr id="8" name="AutoShape 5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810500" y="3305175"/>
          <a:ext cx="9525" cy="97917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27</xdr:col>
      <xdr:colOff>9525</xdr:colOff>
      <xdr:row>11</xdr:row>
      <xdr:rowOff>9525</xdr:rowOff>
    </xdr:from>
    <xdr:to>
      <xdr:col>27</xdr:col>
      <xdr:colOff>19050</xdr:colOff>
      <xdr:row>32</xdr:row>
      <xdr:rowOff>0</xdr:rowOff>
    </xdr:to>
    <xdr:sp>
      <xdr:nvSpPr>
        <xdr:cNvPr id="9" name="AutoShape 5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820150" y="3314700"/>
          <a:ext cx="9525" cy="97917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26</xdr:col>
      <xdr:colOff>38100</xdr:colOff>
      <xdr:row>11</xdr:row>
      <xdr:rowOff>9525</xdr:rowOff>
    </xdr:from>
    <xdr:to>
      <xdr:col>26</xdr:col>
      <xdr:colOff>47625</xdr:colOff>
      <xdr:row>31</xdr:row>
      <xdr:rowOff>447675</xdr:rowOff>
    </xdr:to>
    <xdr:sp>
      <xdr:nvSpPr>
        <xdr:cNvPr id="10" name="AutoShape 5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524875" y="3314700"/>
          <a:ext cx="9525" cy="977265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27</xdr:col>
      <xdr:colOff>295275</xdr:colOff>
      <xdr:row>11</xdr:row>
      <xdr:rowOff>9525</xdr:rowOff>
    </xdr:from>
    <xdr:to>
      <xdr:col>27</xdr:col>
      <xdr:colOff>304800</xdr:colOff>
      <xdr:row>32</xdr:row>
      <xdr:rowOff>0</xdr:rowOff>
    </xdr:to>
    <xdr:sp>
      <xdr:nvSpPr>
        <xdr:cNvPr id="11" name="AutoShape 5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105900" y="3314700"/>
          <a:ext cx="9525" cy="97917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31</xdr:col>
      <xdr:colOff>9525</xdr:colOff>
      <xdr:row>11</xdr:row>
      <xdr:rowOff>9525</xdr:rowOff>
    </xdr:from>
    <xdr:to>
      <xdr:col>31</xdr:col>
      <xdr:colOff>9525</xdr:colOff>
      <xdr:row>32</xdr:row>
      <xdr:rowOff>0</xdr:rowOff>
    </xdr:to>
    <xdr:sp>
      <xdr:nvSpPr>
        <xdr:cNvPr id="12" name="AutoShape 5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115550" y="3314700"/>
          <a:ext cx="0" cy="97917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30</xdr:col>
      <xdr:colOff>38100</xdr:colOff>
      <xdr:row>11</xdr:row>
      <xdr:rowOff>9525</xdr:rowOff>
    </xdr:from>
    <xdr:to>
      <xdr:col>30</xdr:col>
      <xdr:colOff>47625</xdr:colOff>
      <xdr:row>31</xdr:row>
      <xdr:rowOff>457200</xdr:rowOff>
    </xdr:to>
    <xdr:sp>
      <xdr:nvSpPr>
        <xdr:cNvPr id="13" name="AutoShape 6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820275" y="3314700"/>
          <a:ext cx="9525" cy="9782175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31</xdr:col>
      <xdr:colOff>304800</xdr:colOff>
      <xdr:row>11</xdr:row>
      <xdr:rowOff>19050</xdr:rowOff>
    </xdr:from>
    <xdr:to>
      <xdr:col>31</xdr:col>
      <xdr:colOff>304800</xdr:colOff>
      <xdr:row>31</xdr:row>
      <xdr:rowOff>457200</xdr:rowOff>
    </xdr:to>
    <xdr:sp>
      <xdr:nvSpPr>
        <xdr:cNvPr id="14" name="AutoShape 6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410825" y="3324225"/>
          <a:ext cx="0" cy="977265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36</xdr:col>
      <xdr:colOff>19050</xdr:colOff>
      <xdr:row>11</xdr:row>
      <xdr:rowOff>19050</xdr:rowOff>
    </xdr:from>
    <xdr:to>
      <xdr:col>36</xdr:col>
      <xdr:colOff>28575</xdr:colOff>
      <xdr:row>32</xdr:row>
      <xdr:rowOff>9525</xdr:rowOff>
    </xdr:to>
    <xdr:sp>
      <xdr:nvSpPr>
        <xdr:cNvPr id="15" name="AutoShape 6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420475" y="3324225"/>
          <a:ext cx="9525" cy="97917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35</xdr:col>
      <xdr:colOff>38100</xdr:colOff>
      <xdr:row>11</xdr:row>
      <xdr:rowOff>9525</xdr:rowOff>
    </xdr:from>
    <xdr:to>
      <xdr:col>35</xdr:col>
      <xdr:colOff>38100</xdr:colOff>
      <xdr:row>31</xdr:row>
      <xdr:rowOff>457200</xdr:rowOff>
    </xdr:to>
    <xdr:sp>
      <xdr:nvSpPr>
        <xdr:cNvPr id="16" name="AutoShape 6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134725" y="3314700"/>
          <a:ext cx="0" cy="9782175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36</xdr:col>
      <xdr:colOff>295275</xdr:colOff>
      <xdr:row>11</xdr:row>
      <xdr:rowOff>9525</xdr:rowOff>
    </xdr:from>
    <xdr:to>
      <xdr:col>36</xdr:col>
      <xdr:colOff>304800</xdr:colOff>
      <xdr:row>32</xdr:row>
      <xdr:rowOff>9525</xdr:rowOff>
    </xdr:to>
    <xdr:sp>
      <xdr:nvSpPr>
        <xdr:cNvPr id="17" name="AutoShape 6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696700" y="3314700"/>
          <a:ext cx="9525" cy="9801225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17</xdr:col>
      <xdr:colOff>314325</xdr:colOff>
      <xdr:row>10</xdr:row>
      <xdr:rowOff>333375</xdr:rowOff>
    </xdr:from>
    <xdr:to>
      <xdr:col>17</xdr:col>
      <xdr:colOff>314325</xdr:colOff>
      <xdr:row>32</xdr:row>
      <xdr:rowOff>19050</xdr:rowOff>
    </xdr:to>
    <xdr:sp>
      <xdr:nvSpPr>
        <xdr:cNvPr id="18" name="AutoShape 1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886450" y="3276600"/>
          <a:ext cx="0" cy="984885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36</xdr:col>
      <xdr:colOff>19050</xdr:colOff>
      <xdr:row>11</xdr:row>
      <xdr:rowOff>19050</xdr:rowOff>
    </xdr:from>
    <xdr:to>
      <xdr:col>36</xdr:col>
      <xdr:colOff>28575</xdr:colOff>
      <xdr:row>32</xdr:row>
      <xdr:rowOff>9525</xdr:rowOff>
    </xdr:to>
    <xdr:sp>
      <xdr:nvSpPr>
        <xdr:cNvPr id="19" name="AutoShape 28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420475" y="3324225"/>
          <a:ext cx="9525" cy="97917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35</xdr:col>
      <xdr:colOff>38100</xdr:colOff>
      <xdr:row>11</xdr:row>
      <xdr:rowOff>9525</xdr:rowOff>
    </xdr:from>
    <xdr:to>
      <xdr:col>35</xdr:col>
      <xdr:colOff>38100</xdr:colOff>
      <xdr:row>31</xdr:row>
      <xdr:rowOff>457200</xdr:rowOff>
    </xdr:to>
    <xdr:sp>
      <xdr:nvSpPr>
        <xdr:cNvPr id="20" name="AutoShape 28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134725" y="3314700"/>
          <a:ext cx="0" cy="9782175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36</xdr:col>
      <xdr:colOff>295275</xdr:colOff>
      <xdr:row>11</xdr:row>
      <xdr:rowOff>9525</xdr:rowOff>
    </xdr:from>
    <xdr:to>
      <xdr:col>36</xdr:col>
      <xdr:colOff>304800</xdr:colOff>
      <xdr:row>32</xdr:row>
      <xdr:rowOff>9525</xdr:rowOff>
    </xdr:to>
    <xdr:sp>
      <xdr:nvSpPr>
        <xdr:cNvPr id="21" name="AutoShape 28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696700" y="3314700"/>
          <a:ext cx="9525" cy="9801225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</a:ln>
      </xdr:spPr>
    </xdr:sp>
    <xdr:clientData/>
  </xdr:twoCellAnchor>
  <xdr:twoCellAnchor editAs="oneCell">
    <xdr:from>
      <xdr:col>60</xdr:col>
      <xdr:colOff>152400</xdr:colOff>
      <xdr:row>2</xdr:row>
      <xdr:rowOff>0</xdr:rowOff>
    </xdr:from>
    <xdr:to>
      <xdr:col>64</xdr:col>
      <xdr:colOff>0</xdr:colOff>
      <xdr:row>3</xdr:row>
      <xdr:rowOff>276225</xdr:rowOff>
    </xdr:to>
    <xdr:pic>
      <xdr:nvPicPr>
        <xdr:cNvPr id="2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2a13cf42e34d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RMaguire" id="{D10087CA-5809-2DE4-EF97-1C585B2B0E69}"/>
</xltc: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815566203e3486b" /><Relationship Type="http://schemas.openxmlformats.org/officeDocument/2006/relationships/vmlDrawing" Target="/xl/drawings/vmldrawing.vml" Id="R57572f80fc784592" /><Relationship Type="http://schemas.openxmlformats.org/officeDocument/2006/relationships/drawing" Target="/xl/drawings/drawing1.xml" Id="Rc86d9458a45f45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42578125" style="1" customWidth="1"/>
    <x:col min="2" max="2" width="3.5703125" style="2" customWidth="1"/>
    <x:col min="3" max="3" width="8" style="2" customWidth="1"/>
    <x:col min="4" max="15" width="4.85546875" style="2" customWidth="1"/>
    <x:col min="16" max="16" width="5.28515625" style="2" customWidth="1"/>
    <x:col min="17" max="17" width="5" style="2" customWidth="1"/>
    <x:col min="18" max="32" width="4.85546875" style="2" customWidth="1"/>
    <x:col min="33" max="33" width="5.140625" style="2" customWidth="1"/>
    <x:col min="34" max="34" width="26.7109375" style="2" hidden="1" customWidth="1"/>
    <x:col min="35" max="35" width="4.85546875" style="2" customWidth="1"/>
    <x:col min="36" max="36" width="4.5703125" style="2" customWidth="1"/>
    <x:col min="37" max="38" width="4.85546875" style="2" customWidth="1"/>
    <x:col min="39" max="39" width="22.42578125" style="2" hidden="1" customWidth="1"/>
    <x:col min="40" max="50" width="4.85546875" style="2" customWidth="1"/>
    <x:col min="51" max="52" width="6.7109375" style="2" customWidth="1"/>
    <x:col min="53" max="64" width="4.85546875" style="2" customWidth="1"/>
    <x:col min="65" max="65" width="3.5703125" style="2" customWidth="1"/>
    <x:col min="66" max="66" width="3.42578125" style="1" customWidth="1"/>
    <x:col min="67" max="67" width="0" style="4" hidden="1" customWidth="1"/>
    <x:col min="68" max="68" width="15.5703125" style="4" hidden="1" customWidth="1"/>
    <x:col min="69" max="69" width="6.42578125" style="4" hidden="1" customWidth="1"/>
    <x:col min="70" max="70" width="10.7109375" style="4" hidden="1" customWidth="1"/>
    <x:col min="71" max="71" width="15.5703125" style="4" hidden="1" customWidth="1"/>
    <x:col min="72" max="73" width="8.5703125" style="4" hidden="1" customWidth="1"/>
    <x:col min="74" max="74" width="12.28515625" style="4" hidden="1" customWidth="1"/>
    <x:col min="75" max="75" width="5.7109375" style="4" hidden="1" customWidth="1"/>
    <x:col min="76" max="76" width="4.5703125" style="4" hidden="1" customWidth="1"/>
    <x:col min="77" max="77" width="0" style="4" hidden="1" customWidth="1"/>
    <x:col min="78" max="78" width="2.140625" style="4" hidden="1" customWidth="1"/>
    <x:col min="79" max="84" width="3.85546875" style="4" hidden="1" customWidth="1"/>
    <x:col min="85" max="85" width="6.140625" style="4" hidden="1" customWidth="1"/>
    <x:col min="86" max="86" width="0" style="4" hidden="1" customWidth="1"/>
    <x:col min="87" max="16384" width="0" style="2" hidden="1" customWidth="0"/>
  </x:cols>
  <x:sheetData>
    <x:row r="1" s="1" customFormat="1" ht="18.75" customHeight="1">
      <x:c r="BN1" s="74" t="s">
        <x:v>0</x:v>
      </x:c>
      <x:c r="BO1" s="13"/>
      <x:c r="BP1" s="13"/>
      <x:c r="BQ1" s="13"/>
      <x:c r="BR1" s="13"/>
      <x:c r="BS1" s="13"/>
      <x:c r="BT1" s="13"/>
      <x:c r="BU1" s="13"/>
      <x:c r="BV1" s="13"/>
      <x:c r="BW1" s="13"/>
      <x:c r="BX1" s="13"/>
      <x:c r="BY1" s="13"/>
      <x:c r="BZ1" s="13"/>
      <x:c r="CA1" s="13"/>
      <x:c r="CB1" s="13"/>
      <x:c r="CC1" s="13"/>
      <x:c r="CD1" s="13"/>
      <x:c r="CE1" s="13"/>
      <x:c r="CF1" s="13"/>
      <x:c r="CG1" s="13"/>
      <x:c r="CH1" s="13"/>
    </x:row>
    <x:row r="2" ht="12.75" customHeight="1">
      <x:c r="B2" s="104" t="s">
        <x:v>1</x:v>
      </x:c>
      <x:c r="C2" s="105"/>
      <x:c r="D2" s="105"/>
      <x:c r="E2" s="105"/>
      <x:c r="F2" s="105"/>
      <x:c r="G2" s="105"/>
      <x:c r="H2" s="105"/>
      <x:c r="I2" s="105"/>
      <x:c r="J2" s="105"/>
      <x:c r="K2" s="105"/>
      <x:c r="L2" s="105"/>
      <x:c r="M2" s="105"/>
      <x:c r="N2" s="105"/>
      <x:c r="O2" s="105"/>
      <x:c r="P2" s="105"/>
      <x:c r="Q2" s="105"/>
      <x:c r="R2" s="105"/>
      <x:c r="S2" s="105"/>
      <x:c r="T2" s="105"/>
      <x:c r="U2" s="105"/>
      <x:c r="V2" s="105"/>
      <x:c r="W2" s="30"/>
      <x:c r="X2" s="20"/>
      <x:c r="Y2" s="20"/>
      <x:c r="Z2" s="20"/>
      <x:c r="AA2" s="20"/>
      <x:c r="AB2" s="20"/>
      <x:c r="AC2" s="20"/>
      <x:c r="AD2" s="20"/>
      <x:c r="AE2" s="20"/>
      <x:c r="AF2" s="20"/>
      <x:c r="AG2" s="20"/>
      <x:c r="AH2" s="20"/>
      <x:c r="AI2" s="20"/>
      <x:c r="AJ2" s="20"/>
      <x:c r="AK2" s="20"/>
      <x:c r="AL2" s="20"/>
      <x:c r="AM2" s="20"/>
      <x:c r="AN2" s="20"/>
      <x:c r="AO2" s="20"/>
      <x:c r="AP2" s="20"/>
      <x:c r="AQ2" s="20"/>
      <x:c r="AR2" s="20"/>
      <x:c r="AS2" s="20"/>
      <x:c r="AT2" s="20"/>
      <x:c r="AU2" s="20"/>
      <x:c r="AV2" s="20"/>
      <x:c r="AW2" s="20"/>
      <x:c r="AX2" s="20"/>
      <x:c r="AY2" s="20"/>
      <x:c r="AZ2" s="20"/>
      <x:c r="BA2" s="20"/>
      <x:c r="BB2" s="20"/>
      <x:c r="BC2" s="20"/>
      <x:c r="BD2" s="20"/>
      <x:c r="BE2" s="20"/>
      <x:c r="BF2" s="20"/>
      <x:c r="BG2" s="20"/>
      <x:c r="BH2" s="20"/>
      <x:c r="BI2" s="20"/>
      <x:c r="BJ2" s="20"/>
      <x:c r="BK2" s="20"/>
      <x:c r="BL2" s="20"/>
      <x:c r="BM2" s="21"/>
      <x:c r="BN2" s="74" t="s">
        <x:v>2</x:v>
      </x:c>
      <x:c r="BP2" s="306" t="s">
        <x:v>3</x:v>
      </x:c>
      <x:c r="BQ2" s="306"/>
      <x:c r="BR2" s="306"/>
      <x:c r="BS2" s="306"/>
      <x:c r="BT2" s="17"/>
      <x:c r="BU2" s="17"/>
      <x:c r="BV2" s="17"/>
      <x:c r="BW2" s="17"/>
      <x:c r="BX2" s="17"/>
      <x:c r="BZ2" s="305" t="s">
        <x:v>4</x:v>
      </x:c>
      <x:c r="CA2" s="305"/>
      <x:c r="CB2" s="305"/>
      <x:c r="CC2" s="305"/>
      <x:c r="CD2" s="305"/>
      <x:c r="CE2" s="305"/>
      <x:c r="CF2" s="305"/>
      <x:c r="CG2" s="305"/>
    </x:row>
    <x:row r="3" ht="12" customHeight="1">
      <x:c r="B3" s="106"/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  <x:c r="M3" s="107"/>
      <x:c r="N3" s="107"/>
      <x:c r="O3" s="107"/>
      <x:c r="P3" s="107"/>
      <x:c r="Q3" s="107"/>
      <x:c r="R3" s="107"/>
      <x:c r="S3" s="107"/>
      <x:c r="T3" s="107"/>
      <x:c r="U3" s="107"/>
      <x:c r="V3" s="107"/>
      <x:c r="W3" s="31"/>
      <x:c r="BM3" s="22"/>
      <x:c r="BP3" s="45" t="s">
        <x:v>5</x:v>
      </x:c>
      <x:c r="BQ3" s="46" t="s">
        <x:v>6</x:v>
      </x:c>
      <x:c r="BR3" s="46" t="s">
        <x:v>7</x:v>
      </x:c>
      <x:c r="BS3" s="46" t="s">
        <x:v>8</x:v>
      </x:c>
      <x:c r="BT3" s="17"/>
      <x:c r="BU3" s="17"/>
      <x:c r="BV3" s="17"/>
      <x:c r="BW3" s="17"/>
      <x:c r="BX3" s="17"/>
      <x:c r="BZ3" s="47" t="s">
        <x:v>9</x:v>
      </x:c>
      <x:c r="CA3" s="47" t="s">
        <x:v>10</x:v>
      </x:c>
      <x:c r="CB3" s="47" t="s">
        <x:v>11</x:v>
      </x:c>
      <x:c r="CC3" s="47" t="s">
        <x:v>12</x:v>
      </x:c>
      <x:c r="CD3" s="47" t="s">
        <x:v>13</x:v>
      </x:c>
      <x:c r="CE3" s="47" t="s">
        <x:v>14</x:v>
      </x:c>
      <x:c r="CF3" s="47" t="s">
        <x:v>15</x:v>
      </x:c>
      <x:c r="CG3" s="47" t="s">
        <x:v>16</x:v>
      </x:c>
    </x:row>
    <x:row r="4" ht="36.75" customHeight="1">
      <x:c r="B4" s="106"/>
      <x:c r="C4" s="107"/>
      <x:c r="D4" s="107"/>
      <x:c r="E4" s="107"/>
      <x:c r="F4" s="107"/>
      <x:c r="G4" s="107"/>
      <x:c r="H4" s="107"/>
      <x:c r="I4" s="107"/>
      <x:c r="J4" s="107"/>
      <x:c r="K4" s="107"/>
      <x:c r="L4" s="107"/>
      <x:c r="M4" s="107"/>
      <x:c r="N4" s="107"/>
      <x:c r="O4" s="107"/>
      <x:c r="P4" s="107"/>
      <x:c r="Q4" s="107"/>
      <x:c r="R4" s="107"/>
      <x:c r="S4" s="107"/>
      <x:c r="T4" s="107"/>
      <x:c r="U4" s="107"/>
      <x:c r="V4" s="107"/>
      <x:c r="W4" s="108" t="s">
        <x:v>17</x:v>
      </x:c>
      <x:c r="X4" s="108"/>
      <x:c r="Y4" s="108"/>
      <x:c r="Z4" s="108"/>
      <x:c r="AA4" s="109" t="s">
        <x:v>18</x:v>
      </x:c>
      <x:c r="AB4" s="109"/>
      <x:c r="AC4" s="110" t="s">
        <x:v>19</x:v>
      </x:c>
      <x:c r="AD4" s="110"/>
      <x:c r="AE4" s="109" t="s">
        <x:v>20</x:v>
      </x:c>
      <x:c r="AF4" s="109"/>
      <x:c r="AG4" s="110"/>
      <x:c r="AH4" s="110"/>
      <x:c r="AI4" s="110"/>
      <x:c r="AK4" s="3"/>
      <x:c r="AL4" s="4"/>
      <x:c r="AM4" s="4"/>
      <x:c r="AN4" s="4"/>
      <x:c r="AO4" s="4"/>
      <x:c r="AP4" s="4"/>
      <x:c r="AT4" s="101" t="s">
        <x:v>21</x:v>
      </x:c>
      <x:c r="AU4" s="102"/>
      <x:c r="AV4" s="102"/>
      <x:c r="AW4" s="102"/>
      <x:c r="AX4" s="102"/>
      <x:c r="AY4" s="102"/>
      <x:c r="AZ4" s="103"/>
      <x:c r="BA4" s="53">
        <x:v>0</x:v>
      </x:c>
      <x:c r="BB4" s="54">
        <x:v>8</x:v>
      </x:c>
      <x:c r="BC4" s="29"/>
      <x:c r="BD4" s="29"/>
      <x:c r="BE4" s="29"/>
      <x:c r="BM4" s="22"/>
      <x:c r="BP4" s="48" t="s">
        <x:v>18</x:v>
      </x:c>
      <x:c r="BQ4" s="49" t="str">
        <x:f>IF(SUM($BS$4:$BS$5)=BR4,"OK","Check")</x:f>
        <x:v>Check</x:v>
      </x:c>
      <x:c r="BR4" s="50">
        <x:v>1</x:v>
      </x:c>
      <x:c r="BS4" s="50">
        <x:f>IF(Current&lt;&gt;"",1,0)</x:f>
        <x:v>0</x:v>
      </x:c>
      <x:c r="BT4" s="17"/>
      <x:c r="BU4" s="17"/>
      <x:c r="BV4" s="17"/>
      <x:c r="BW4" s="17"/>
      <x:c r="BX4" s="17"/>
      <x:c r="BZ4" s="51" t="s">
        <x:v>9</x:v>
      </x:c>
      <x:c r="CA4" s="51">
        <x:v>0</x:v>
      </x:c>
      <x:c r="CB4" s="51">
        <x:v>0</x:v>
      </x:c>
      <x:c r="CC4" s="51">
        <x:v>0</x:v>
      </x:c>
      <x:c r="CD4" s="51">
        <x:v>0</x:v>
      </x:c>
      <x:c r="CE4" s="51">
        <x:v>1</x:v>
      </x:c>
      <x:c r="CF4" s="51">
        <x:v>0</x:v>
      </x:c>
      <x:c r="CG4" s="51" t="s">
        <x:v>22</x:v>
      </x:c>
    </x:row>
    <x:row r="5" ht="12" customHeight="1">
      <x:c r="B5" s="106"/>
      <x:c r="C5" s="107"/>
      <x:c r="D5" s="107"/>
      <x:c r="E5" s="107"/>
      <x:c r="F5" s="107"/>
      <x:c r="G5" s="107"/>
      <x:c r="H5" s="107"/>
      <x:c r="I5" s="107"/>
      <x:c r="J5" s="107"/>
      <x:c r="K5" s="107"/>
      <x:c r="L5" s="107"/>
      <x:c r="M5" s="107"/>
      <x:c r="N5" s="107"/>
      <x:c r="O5" s="107"/>
      <x:c r="P5" s="107"/>
      <x:c r="Q5" s="107"/>
      <x:c r="R5" s="107"/>
      <x:c r="S5" s="107"/>
      <x:c r="T5" s="107"/>
      <x:c r="U5" s="107"/>
      <x:c r="V5" s="107"/>
      <x:c r="W5" s="31"/>
      <x:c r="BM5" s="22"/>
      <x:c r="BP5" s="48" t="s">
        <x:v>20</x:v>
      </x:c>
      <x:c r="BQ5" s="49" t="str">
        <x:f>IF(SUM($BS$4:$BS$5)=BR5,"OK","Check")</x:f>
        <x:v>Check</x:v>
      </x:c>
      <x:c r="BR5" s="50">
        <x:v>1</x:v>
      </x:c>
      <x:c r="BS5" s="50">
        <x:f>IF(Amended&lt;&gt;"",1,0)</x:f>
        <x:v>0</x:v>
      </x:c>
      <x:c r="BT5" s="17"/>
      <x:c r="BU5" s="17"/>
      <x:c r="BV5" s="17"/>
      <x:c r="BW5" s="17"/>
      <x:c r="BX5" s="17"/>
      <x:c r="BZ5" s="17"/>
      <x:c r="CA5" s="51">
        <x:v>1</x:v>
      </x:c>
      <x:c r="CB5" s="51">
        <x:v>1</x:v>
      </x:c>
      <x:c r="CC5" s="51">
        <x:v>1</x:v>
      </x:c>
      <x:c r="CD5" s="51">
        <x:v>1</x:v>
      </x:c>
      <x:c r="CE5" s="51">
        <x:v>2</x:v>
      </x:c>
      <x:c r="CF5" s="51">
        <x:v>1</x:v>
      </x:c>
      <x:c r="CG5" s="51" t="s">
        <x:v>23</x:v>
      </x:c>
    </x:row>
    <x:row r="6" ht="36.75" customHeight="1">
      <x:c r="B6" s="23"/>
      <x:c r="C6" s="131" t="s">
        <x:v>24</x:v>
      </x:c>
      <x:c r="D6" s="131"/>
      <x:c r="E6" s="131"/>
      <x:c r="F6" s="131"/>
      <x:c r="G6" s="270" t="s">
        <x:v>25</x:v>
      </x:c>
      <x:c r="H6" s="271"/>
      <x:c r="I6" s="271"/>
      <x:c r="J6" s="271"/>
      <x:c r="K6" s="271"/>
      <x:c r="L6" s="271"/>
      <x:c r="M6" s="271"/>
      <x:c r="N6" s="271"/>
      <x:c r="O6" s="271"/>
      <x:c r="P6" s="271"/>
      <x:c r="Q6" s="271"/>
      <x:c r="R6" s="271"/>
      <x:c r="S6" s="271"/>
      <x:c r="T6" s="271"/>
      <x:c r="U6" s="272"/>
      <x:c r="V6" s="4"/>
      <x:c r="W6" s="131" t="s">
        <x:v>26</x:v>
      </x:c>
      <x:c r="X6" s="131"/>
      <x:c r="Y6" s="131"/>
      <x:c r="Z6" s="131"/>
      <x:c r="AA6" s="59">
        <x:v>1</x:v>
      </x:c>
      <x:c r="AB6" s="82">
        <x:v>4</x:v>
      </x:c>
      <x:c r="AC6" s="83">
        <x:v>9</x:v>
      </x:c>
      <x:c r="AD6" s="82">
        <x:v>6</x:v>
      </x:c>
      <x:c r="AE6" s="82">
        <x:v>7</x:v>
      </x:c>
      <x:c r="AF6" s="82">
        <x:v>6</x:v>
      </x:c>
      <x:c r="AG6" s="131" t="s">
        <x:v>27</x:v>
      </x:c>
      <x:c r="AH6" s="131"/>
      <x:c r="AI6" s="131"/>
      <x:c r="AJ6" s="131"/>
      <x:c r="AK6" s="131"/>
      <x:c r="AL6" s="59">
        <x:v>8</x:v>
      </x:c>
      <x:c r="AM6" s="59"/>
      <x:c r="AN6" s="59">
        <x:v>9</x:v>
      </x:c>
      <x:c r="AO6" s="59">
        <x:v>1</x:v>
      </x:c>
      <x:c r="AP6" s="59">
        <x:v>5</x:v>
      </x:c>
      <x:c r="AQ6" s="59">
        <x:v>1</x:v>
      </x:c>
      <x:c r="AR6" s="59">
        <x:v>4</x:v>
      </x:c>
      <x:c r="AS6" s="4"/>
      <x:c r="AT6" s="239" t="s">
        <x:v>28</x:v>
      </x:c>
      <x:c r="AU6" s="240"/>
      <x:c r="AV6" s="240"/>
      <x:c r="AW6" s="240"/>
      <x:c r="AX6" s="240"/>
      <x:c r="AY6" s="240"/>
      <x:c r="AZ6" s="241"/>
      <x:c r="BA6" s="53">
        <x:v>3</x:v>
      </x:c>
      <x:c r="BB6" s="54">
        <x:v>0</x:v>
      </x:c>
      <x:c r="BC6" s="53">
        <x:v>0</x:v>
      </x:c>
      <x:c r="BD6" s="54">
        <x:v>4</x:v>
      </x:c>
      <x:c r="BE6" s="53">
        <x:v>2</x:v>
      </x:c>
      <x:c r="BF6" s="54">
        <x:v>6</x:v>
      </x:c>
      <x:c r="BH6" s="5"/>
      <x:c r="BI6" s="5"/>
      <x:c r="BJ6" s="5"/>
      <x:c r="BK6" s="5"/>
      <x:c r="BL6" s="5"/>
      <x:c r="BM6" s="22"/>
      <x:c r="BP6" s="48" t="s">
        <x:v>29</x:v>
      </x:c>
      <x:c r="BQ6" s="49" t="str">
        <x:f t="shared" ref="BQ6:BQ11" si="0">IF(BS6=BR6,"OK","Check")</x:f>
        <x:v>OK</x:v>
      </x:c>
      <x:c r="BR6" s="50">
        <x:v>2</x:v>
      </x:c>
      <x:c r="BS6" s="50">
        <x:f>COUNT(Week_Number)</x:f>
        <x:v>2</x:v>
      </x:c>
      <x:c r="BT6" s="17"/>
      <x:c r="BU6" s="17"/>
      <x:c r="BV6" s="17"/>
      <x:c r="BW6" s="17"/>
      <x:c r="BX6" s="17"/>
      <x:c r="BZ6" s="17"/>
      <x:c r="CA6" s="17"/>
      <x:c r="CB6" s="51">
        <x:v>2</x:v>
      </x:c>
      <x:c r="CC6" s="51">
        <x:v>2</x:v>
      </x:c>
      <x:c r="CD6" s="51">
        <x:v>2</x:v>
      </x:c>
      <x:c r="CE6" s="51">
        <x:v>3</x:v>
      </x:c>
      <x:c r="CF6" s="51">
        <x:v>2</x:v>
      </x:c>
      <x:c r="CG6" s="51" t="s">
        <x:v>30</x:v>
      </x:c>
    </x:row>
    <x:row r="7" ht="18.75" customHeight="1">
      <x:c r="B7" s="23"/>
      <x:c r="W7" s="115" t="s">
        <x:v>31</x:v>
      </x:c>
      <x:c r="X7" s="115"/>
      <x:c r="Y7" s="115"/>
      <x:c r="Z7" s="115"/>
      <x:c r="AA7" s="115"/>
      <x:c r="AB7" s="115"/>
      <x:c r="AC7" s="115"/>
      <x:c r="AD7" s="115"/>
      <x:c r="AE7" s="115"/>
      <x:c r="BM7" s="22"/>
      <x:c r="BP7" s="48" t="s">
        <x:v>32</x:v>
      </x:c>
      <x:c r="BQ7" s="49" t="str">
        <x:f t="shared" si="0"/>
        <x:v>OK</x:v>
      </x:c>
      <x:c r="BR7" s="50">
        <x:v>6</x:v>
      </x:c>
      <x:c r="BS7" s="50">
        <x:f>COUNTA(Payroll_Number)</x:f>
        <x:v>6</x:v>
      </x:c>
      <x:c r="BT7" s="17"/>
      <x:c r="BU7" s="17"/>
      <x:c r="BV7" s="17"/>
      <x:c r="BW7" s="17"/>
      <x:c r="BX7" s="17"/>
      <x:c r="BZ7" s="17"/>
      <x:c r="CA7" s="17"/>
      <x:c r="CB7" s="17"/>
      <x:c r="CC7" s="51">
        <x:v>3</x:v>
      </x:c>
      <x:c r="CD7" s="51">
        <x:v>3</x:v>
      </x:c>
      <x:c r="CE7" s="51">
        <x:v>4</x:v>
      </x:c>
      <x:c r="CF7" s="51">
        <x:v>3</x:v>
      </x:c>
      <x:c r="CG7" s="51" t="s">
        <x:v>33</x:v>
      </x:c>
    </x:row>
    <x:row r="8" ht="30.75" customHeight="1">
      <x:c r="B8" s="23"/>
      <x:c r="C8" s="8"/>
      <x:c r="AP8" s="225" t="s">
        <x:v>34</x:v>
      </x:c>
      <x:c r="AQ8" s="226"/>
      <x:c r="AR8" s="226"/>
      <x:c r="AS8" s="226"/>
      <x:c r="AT8" s="226"/>
      <x:c r="AU8" s="226"/>
      <x:c r="AV8" s="226"/>
      <x:c r="AW8" s="226"/>
      <x:c r="AX8" s="227"/>
      <x:c r="BM8" s="22"/>
      <x:c r="BP8" s="48" t="s">
        <x:v>35</x:v>
      </x:c>
      <x:c r="BQ8" s="49" t="str">
        <x:f t="shared" si="0"/>
        <x:v>OK</x:v>
      </x:c>
      <x:c r="BR8" s="50">
        <x:v>6</x:v>
      </x:c>
      <x:c r="BS8" s="50">
        <x:f>COUNT(Cost_Centre)</x:f>
        <x:v>6</x:v>
      </x:c>
      <x:c r="BT8" s="17"/>
      <x:c r="BU8" s="17"/>
      <x:c r="BV8" s="17"/>
      <x:c r="BW8" s="17"/>
      <x:c r="BX8" s="17"/>
      <x:c r="BZ8" s="17"/>
      <x:c r="CA8" s="17"/>
      <x:c r="CB8" s="17"/>
      <x:c r="CC8" s="17"/>
      <x:c r="CD8" s="51">
        <x:v>4</x:v>
      </x:c>
      <x:c r="CE8" s="51">
        <x:v>5</x:v>
      </x:c>
      <x:c r="CF8" s="51">
        <x:v>4</x:v>
      </x:c>
      <x:c r="CG8" s="51" t="s">
        <x:v>36</x:v>
      </x:c>
    </x:row>
    <x:row r="9" ht="23.25" customHeight="1">
      <x:c r="B9" s="23"/>
      <x:c r="AP9" s="228"/>
      <x:c r="AQ9" s="229"/>
      <x:c r="AR9" s="229"/>
      <x:c r="AS9" s="229"/>
      <x:c r="AT9" s="229"/>
      <x:c r="AU9" s="229"/>
      <x:c r="AV9" s="229"/>
      <x:c r="AW9" s="229"/>
      <x:c r="AX9" s="230"/>
      <x:c r="BM9" s="22"/>
      <x:c r="BP9" s="48" t="s">
        <x:v>37</x:v>
      </x:c>
      <x:c r="BQ9" s="49" t="str">
        <x:f t="shared" si="0"/>
        <x:v>OK</x:v>
      </x:c>
      <x:c r="BR9" s="50">
        <x:v>6</x:v>
      </x:c>
      <x:c r="BS9" s="50">
        <x:f>COUNT(Week_Ending)</x:f>
        <x:v>6</x:v>
      </x:c>
      <x:c r="BT9" s="17"/>
      <x:c r="BU9" s="17"/>
      <x:c r="BV9" s="17"/>
      <x:c r="BW9" s="17"/>
      <x:c r="BX9" s="17"/>
      <x:c r="BZ9" s="17"/>
      <x:c r="CA9" s="17"/>
      <x:c r="CB9" s="17"/>
      <x:c r="CC9" s="17"/>
      <x:c r="CD9" s="51">
        <x:v>5</x:v>
      </x:c>
      <x:c r="CE9" s="51">
        <x:v>6</x:v>
      </x:c>
      <x:c r="CF9" s="51">
        <x:v>5</x:v>
      </x:c>
      <x:c r="CG9" s="51" t="s">
        <x:v>38</x:v>
      </x:c>
    </x:row>
    <x:row r="10" ht="30" customHeight="1">
      <x:c r="B10" s="23"/>
      <x:c r="C10" s="279" t="s">
        <x:v>39</x:v>
      </x:c>
      <x:c r="D10" s="280"/>
      <x:c r="E10" s="280"/>
      <x:c r="F10" s="280"/>
      <x:c r="G10" s="280"/>
      <x:c r="H10" s="281"/>
      <x:c r="I10" s="4"/>
      <x:c r="J10" s="285" t="s">
        <x:v>40</x:v>
      </x:c>
      <x:c r="K10" s="287"/>
      <x:c r="L10" s="260" t="s">
        <x:v>41</x:v>
      </x:c>
      <x:c r="M10" s="261"/>
      <x:c r="N10" s="261"/>
      <x:c r="O10" s="262"/>
      <x:c r="P10" s="219" t="s">
        <x:v>42</x:v>
      </x:c>
      <x:c r="Q10" s="221"/>
      <x:c r="R10" s="273" t="s">
        <x:v>43</x:v>
      </x:c>
      <x:c r="S10" s="220"/>
      <x:c r="T10" s="220"/>
      <x:c r="U10" s="221"/>
      <x:c r="V10" s="273" t="s">
        <x:v>44</x:v>
      </x:c>
      <x:c r="W10" s="220"/>
      <x:c r="X10" s="220"/>
      <x:c r="Y10" s="221"/>
      <x:c r="Z10" s="273" t="s">
        <x:v>45</x:v>
      </x:c>
      <x:c r="AA10" s="220"/>
      <x:c r="AB10" s="220"/>
      <x:c r="AC10" s="221"/>
      <x:c r="AD10" s="285" t="s">
        <x:v>46</x:v>
      </x:c>
      <x:c r="AE10" s="286"/>
      <x:c r="AF10" s="286"/>
      <x:c r="AG10" s="287"/>
      <x:c r="AH10" s="62" t="s">
        <x:v>47</x:v>
      </x:c>
      <x:c r="AI10" s="219" t="s">
        <x:v>48</x:v>
      </x:c>
      <x:c r="AJ10" s="220"/>
      <x:c r="AK10" s="220"/>
      <x:c r="AL10" s="221"/>
      <x:c r="AM10" s="63" t="s">
        <x:v>49</x:v>
      </x:c>
      <x:c r="AN10" s="219" t="s">
        <x:v>50</x:v>
      </x:c>
      <x:c r="AO10" s="221"/>
      <x:c r="AP10" s="219" t="s">
        <x:v>51</x:v>
      </x:c>
      <x:c r="AQ10" s="220"/>
      <x:c r="AR10" s="221"/>
      <x:c r="AS10" s="231" t="s">
        <x:v>52</x:v>
      </x:c>
      <x:c r="AT10" s="233"/>
      <x:c r="AU10" s="231" t="s">
        <x:v>53</x:v>
      </x:c>
      <x:c r="AV10" s="233"/>
      <x:c r="AW10" s="231" t="s">
        <x:v>54</x:v>
      </x:c>
      <x:c r="AX10" s="233"/>
      <x:c r="AY10" s="219" t="s">
        <x:v>55</x:v>
      </x:c>
      <x:c r="AZ10" s="221"/>
      <x:c r="BA10" s="231" t="s">
        <x:v>56</x:v>
      </x:c>
      <x:c r="BB10" s="232"/>
      <x:c r="BC10" s="232"/>
      <x:c r="BD10" s="233"/>
      <x:c r="BE10" s="219" t="s">
        <x:v>57</x:v>
      </x:c>
      <x:c r="BF10" s="220"/>
      <x:c r="BG10" s="220"/>
      <x:c r="BH10" s="220"/>
      <x:c r="BI10" s="220"/>
      <x:c r="BJ10" s="220"/>
      <x:c r="BK10" s="220"/>
      <x:c r="BL10" s="221"/>
      <x:c r="BM10" s="22"/>
      <x:c r="BP10" s="48" t="s">
        <x:v>58</x:v>
      </x:c>
      <x:c r="BQ10" s="49" t="str">
        <x:f t="shared" si="0"/>
        <x:v>OK</x:v>
      </x:c>
      <x:c r="BR10" s="50">
        <x:v>1</x:v>
      </x:c>
      <x:c r="BS10" s="50">
        <x:f>IF(Employee_Sign&lt;&gt;"",1,0)</x:f>
        <x:v>1</x:v>
      </x:c>
      <x:c r="BT10" s="17"/>
      <x:c r="BU10" s="17"/>
      <x:c r="BV10" s="17"/>
      <x:c r="BW10" s="17"/>
      <x:c r="BX10" s="17"/>
      <x:c r="BZ10" s="17"/>
      <x:c r="CA10" s="17"/>
      <x:c r="CB10" s="17"/>
      <x:c r="CC10" s="17"/>
      <x:c r="CD10" s="17"/>
      <x:c r="CE10" s="51">
        <x:v>7</x:v>
      </x:c>
      <x:c r="CF10" s="51">
        <x:v>6</x:v>
      </x:c>
      <x:c r="CG10" s="51" t="s">
        <x:v>59</x:v>
      </x:c>
    </x:row>
    <x:row r="11" ht="28.5" customHeight="1">
      <x:c r="B11" s="23"/>
      <x:c r="C11" s="282"/>
      <x:c r="D11" s="283"/>
      <x:c r="E11" s="283"/>
      <x:c r="F11" s="283"/>
      <x:c r="G11" s="283"/>
      <x:c r="H11" s="284"/>
      <x:c r="I11" s="4"/>
      <x:c r="J11" s="288"/>
      <x:c r="K11" s="264"/>
      <x:c r="L11" s="267" t="s">
        <x:v>60</x:v>
      </x:c>
      <x:c r="M11" s="268"/>
      <x:c r="N11" s="268"/>
      <x:c r="O11" s="269"/>
      <x:c r="P11" s="263"/>
      <x:c r="Q11" s="264"/>
      <x:c r="R11" s="267" t="s">
        <x:v>60</x:v>
      </x:c>
      <x:c r="S11" s="268"/>
      <x:c r="T11" s="268"/>
      <x:c r="U11" s="269"/>
      <x:c r="V11" s="267" t="s">
        <x:v>60</x:v>
      </x:c>
      <x:c r="W11" s="268"/>
      <x:c r="X11" s="268"/>
      <x:c r="Y11" s="269"/>
      <x:c r="Z11" s="267" t="s">
        <x:v>60</x:v>
      </x:c>
      <x:c r="AA11" s="268"/>
      <x:c r="AB11" s="268"/>
      <x:c r="AC11" s="269"/>
      <x:c r="AD11" s="267" t="s">
        <x:v>60</x:v>
      </x:c>
      <x:c r="AE11" s="268"/>
      <x:c r="AF11" s="268"/>
      <x:c r="AG11" s="269"/>
      <x:c r="AH11" s="61"/>
      <x:c r="AI11" s="236" t="s">
        <x:v>60</x:v>
      </x:c>
      <x:c r="AJ11" s="237"/>
      <x:c r="AK11" s="237"/>
      <x:c r="AL11" s="238"/>
      <x:c r="AM11" s="64"/>
      <x:c r="AN11" s="222"/>
      <x:c r="AO11" s="224"/>
      <x:c r="AP11" s="222"/>
      <x:c r="AQ11" s="223"/>
      <x:c r="AR11" s="224"/>
      <x:c r="AS11" s="234" t="s">
        <x:v>61</x:v>
      </x:c>
      <x:c r="AT11" s="242"/>
      <x:c r="AU11" s="242"/>
      <x:c r="AV11" s="242"/>
      <x:c r="AW11" s="242"/>
      <x:c r="AX11" s="235"/>
      <x:c r="AY11" s="222"/>
      <x:c r="AZ11" s="224"/>
      <x:c r="BA11" s="234" t="s">
        <x:v>62</x:v>
      </x:c>
      <x:c r="BB11" s="235"/>
      <x:c r="BC11" s="234" t="s">
        <x:v>63</x:v>
      </x:c>
      <x:c r="BD11" s="235"/>
      <x:c r="BE11" s="222"/>
      <x:c r="BF11" s="223"/>
      <x:c r="BG11" s="223"/>
      <x:c r="BH11" s="223"/>
      <x:c r="BI11" s="223"/>
      <x:c r="BJ11" s="223"/>
      <x:c r="BK11" s="223"/>
      <x:c r="BL11" s="224"/>
      <x:c r="BM11" s="22"/>
      <x:c r="BP11" s="48" t="s">
        <x:v>64</x:v>
      </x:c>
      <x:c r="BQ11" s="49" t="str">
        <x:f t="shared" si="0"/>
        <x:v>Check</x:v>
      </x:c>
      <x:c r="BR11" s="50">
        <x:v>1</x:v>
      </x:c>
      <x:c r="BS11" s="50">
        <x:f>IF(Manager_Sign&lt;&gt;"",1,0)</x:f>
        <x:v>0</x:v>
      </x:c>
      <x:c r="BT11" s="17"/>
      <x:c r="BU11" s="17"/>
      <x:c r="BV11" s="17"/>
      <x:c r="BW11" s="17"/>
      <x:c r="BX11" s="17"/>
      <x:c r="BZ11" s="17"/>
      <x:c r="CA11" s="17"/>
      <x:c r="CB11" s="17"/>
      <x:c r="CC11" s="17"/>
      <x:c r="CD11" s="17"/>
      <x:c r="CE11" s="51">
        <x:v>8</x:v>
      </x:c>
      <x:c r="CF11" s="51">
        <x:v>7</x:v>
      </x:c>
      <x:c r="CG11" s="51" t="s">
        <x:v>65</x:v>
      </x:c>
    </x:row>
    <x:row r="12" ht="36.75" customHeight="1">
      <x:c r="B12" s="23"/>
      <x:c r="C12" s="14" t="s">
        <x:v>66</x:v>
      </x:c>
      <x:c r="D12" s="265" t="s">
        <x:v>67</x:v>
      </x:c>
      <x:c r="E12" s="265"/>
      <x:c r="F12" s="265"/>
      <x:c r="G12" s="265"/>
      <x:c r="H12" s="266"/>
      <x:c r="I12" s="17"/>
      <x:c r="J12" s="254" t="s">
        <x:v>68</x:v>
      </x:c>
      <x:c r="K12" s="257">
        <x:v>1</x:v>
      </x:c>
      <x:c r="L12" s="92"/>
      <x:c r="M12" s="93"/>
      <x:c r="N12" s="93"/>
      <x:c r="O12" s="94"/>
      <x:c r="P12" s="258"/>
      <x:c r="Q12" s="259"/>
      <x:c r="R12" s="92"/>
      <x:c r="S12" s="93"/>
      <x:c r="T12" s="93"/>
      <x:c r="U12" s="94"/>
      <x:c r="V12" s="92"/>
      <x:c r="W12" s="93"/>
      <x:c r="X12" s="93"/>
      <x:c r="Y12" s="94"/>
      <x:c r="Z12" s="92"/>
      <x:c r="AA12" s="93"/>
      <x:c r="AB12" s="93"/>
      <x:c r="AC12" s="94"/>
      <x:c r="AD12" s="92"/>
      <x:c r="AE12" s="93"/>
      <x:c r="AF12" s="93"/>
      <x:c r="AG12" s="94"/>
      <x:c r="AH12" s="67"/>
      <x:c r="AI12" s="116"/>
      <x:c r="AJ12" s="117"/>
      <x:c r="AK12" s="117"/>
      <x:c r="AL12" s="118"/>
      <x:c r="AM12" s="68" t="str">
        <x:f>IF(AH12="","",IF(AH12&gt;0,"Undertime","Overtime"))</x:f>
      </x:c>
      <x:c r="AN12" s="132"/>
      <x:c r="AO12" s="133"/>
      <x:c r="AP12" s="199"/>
      <x:c r="AQ12" s="160"/>
      <x:c r="AR12" s="161"/>
      <x:c r="AS12" s="166"/>
      <x:c r="AT12" s="167"/>
      <x:c r="AU12" s="205"/>
      <x:c r="AV12" s="167"/>
      <x:c r="AW12" s="205"/>
      <x:c r="AX12" s="206"/>
      <x:c r="AY12" s="139"/>
      <x:c r="AZ12" s="140"/>
      <x:c r="BA12" s="207"/>
      <x:c r="BB12" s="208"/>
      <x:c r="BC12" s="207"/>
      <x:c r="BD12" s="208"/>
      <x:c r="BE12" s="199"/>
      <x:c r="BF12" s="200"/>
      <x:c r="BG12" s="200"/>
      <x:c r="BH12" s="200"/>
      <x:c r="BI12" s="200"/>
      <x:c r="BJ12" s="200"/>
      <x:c r="BK12" s="200"/>
      <x:c r="BL12" s="201"/>
      <x:c r="BM12" s="22"/>
      <x:c r="BP12" s="48" t="s">
        <x:v>69</x:v>
      </x:c>
      <x:c r="BQ12" s="49" t="str">
        <x:f>IF(BS12&gt;0,"OK","Check")</x:f>
        <x:v>OK</x:v>
      </x:c>
      <x:c r="BR12" s="50">
        <x:v>15</x:v>
      </x:c>
      <x:c r="BS12" s="50">
        <x:f>COUNTA(Surname)</x:f>
        <x:v>1</x:v>
      </x:c>
      <x:c r="BT12" s="17"/>
      <x:c r="BU12" s="17"/>
      <x:c r="BV12" s="17"/>
      <x:c r="BW12" s="17"/>
      <x:c r="BX12" s="17"/>
      <x:c r="BZ12" s="17"/>
      <x:c r="CA12" s="17"/>
      <x:c r="CB12" s="17"/>
      <x:c r="CC12" s="17"/>
      <x:c r="CD12" s="17"/>
      <x:c r="CE12" s="51">
        <x:v>9</x:v>
      </x:c>
      <x:c r="CF12" s="51">
        <x:v>8</x:v>
      </x:c>
      <x:c r="CG12" s="51" t="s">
        <x:v>70</x:v>
      </x:c>
    </x:row>
    <x:row r="13" ht="36.75" customHeight="1">
      <x:c r="B13" s="23"/>
      <x:c r="C13" s="15" t="s">
        <x:v>71</x:v>
      </x:c>
      <x:c r="D13" s="90" t="s">
        <x:v>72</x:v>
      </x:c>
      <x:c r="E13" s="90"/>
      <x:c r="F13" s="90"/>
      <x:c r="G13" s="90"/>
      <x:c r="H13" s="91"/>
      <x:c r="I13" s="17"/>
      <x:c r="J13" s="255"/>
      <x:c r="K13" s="255"/>
      <x:c r="L13" s="95">
        <x:v>0.5</x:v>
      </x:c>
      <x:c r="M13" s="96"/>
      <x:c r="N13" s="96"/>
      <x:c r="O13" s="97"/>
      <x:c r="P13" s="197"/>
      <x:c r="Q13" s="198"/>
      <x:c r="R13" s="95">
        <x:v>0.75</x:v>
      </x:c>
      <x:c r="S13" s="96"/>
      <x:c r="T13" s="96"/>
      <x:c r="U13" s="97"/>
      <x:c r="V13" s="95">
        <x:v>0.25</x:v>
      </x:c>
      <x:c r="W13" s="96"/>
      <x:c r="X13" s="96"/>
      <x:c r="Y13" s="97"/>
      <x:c r="Z13" s="95"/>
      <x:c r="AA13" s="96"/>
      <x:c r="AB13" s="96"/>
      <x:c r="AC13" s="97"/>
      <x:c r="AD13" s="95"/>
      <x:c r="AE13" s="96"/>
      <x:c r="AF13" s="96"/>
      <x:c r="AG13" s="97"/>
      <x:c r="AH13" s="69"/>
      <x:c r="AI13" s="119">
        <x:v>0</x:v>
      </x:c>
      <x:c r="AJ13" s="120"/>
      <x:c r="AK13" s="120"/>
      <x:c r="AL13" s="121"/>
      <x:c r="AM13" s="70" t="str">
        <x:f t="shared" ref="AM13:AM33" si="1">IF(AH13="","",IF(AH13&gt;0,"Undertime","Overtime"))</x:f>
      </x:c>
      <x:c r="AN13" s="132"/>
      <x:c r="AO13" s="133"/>
      <x:c r="AP13" s="147"/>
      <x:c r="AQ13" s="148"/>
      <x:c r="AR13" s="149"/>
      <x:c r="AS13" s="243"/>
      <x:c r="AT13" s="212"/>
      <x:c r="AU13" s="211"/>
      <x:c r="AV13" s="212"/>
      <x:c r="AW13" s="211"/>
      <x:c r="AX13" s="213"/>
      <x:c r="AY13" s="111"/>
      <x:c r="AZ13" s="112"/>
      <x:c r="BA13" s="214"/>
      <x:c r="BB13" s="215"/>
      <x:c r="BC13" s="214"/>
      <x:c r="BD13" s="215"/>
      <x:c r="BE13" s="202"/>
      <x:c r="BF13" s="203"/>
      <x:c r="BG13" s="203"/>
      <x:c r="BH13" s="203"/>
      <x:c r="BI13" s="203"/>
      <x:c r="BJ13" s="203"/>
      <x:c r="BK13" s="203"/>
      <x:c r="BL13" s="204"/>
      <x:c r="BM13" s="22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Z13" s="17"/>
      <x:c r="CA13" s="17"/>
      <x:c r="CB13" s="17"/>
      <x:c r="CC13" s="17"/>
      <x:c r="CD13" s="17"/>
      <x:c r="CE13" s="17"/>
      <x:c r="CF13" s="51">
        <x:v>9</x:v>
      </x:c>
      <x:c r="CG13" s="51" t="s">
        <x:v>73</x:v>
      </x:c>
    </x:row>
    <x:row r="14" ht="36.75" customHeight="1">
      <x:c r="B14" s="23"/>
      <x:c r="C14" s="15" t="s">
        <x:v>74</x:v>
      </x:c>
      <x:c r="D14" s="90" t="s">
        <x:v>75</x:v>
      </x:c>
      <x:c r="E14" s="90"/>
      <x:c r="F14" s="90"/>
      <x:c r="G14" s="90"/>
      <x:c r="H14" s="91"/>
      <x:c r="I14" s="17"/>
      <x:c r="J14" s="256"/>
      <x:c r="K14" s="256"/>
      <x:c r="L14" s="95"/>
      <x:c r="M14" s="96"/>
      <x:c r="N14" s="96"/>
      <x:c r="O14" s="97"/>
      <x:c r="P14" s="195"/>
      <x:c r="Q14" s="196"/>
      <x:c r="R14" s="98"/>
      <x:c r="S14" s="99"/>
      <x:c r="T14" s="99"/>
      <x:c r="U14" s="100"/>
      <x:c r="V14" s="98"/>
      <x:c r="W14" s="99"/>
      <x:c r="X14" s="99"/>
      <x:c r="Y14" s="100"/>
      <x:c r="Z14" s="98"/>
      <x:c r="AA14" s="99"/>
      <x:c r="AB14" s="99"/>
      <x:c r="AC14" s="100"/>
      <x:c r="AD14" s="98"/>
      <x:c r="AE14" s="99"/>
      <x:c r="AF14" s="99"/>
      <x:c r="AG14" s="100"/>
      <x:c r="AH14" s="71"/>
      <x:c r="AI14" s="122"/>
      <x:c r="AJ14" s="123"/>
      <x:c r="AK14" s="123"/>
      <x:c r="AL14" s="124"/>
      <x:c r="AM14" s="72" t="str">
        <x:f t="shared" si="1"/>
      </x:c>
      <x:c r="AN14" s="244"/>
      <x:c r="AO14" s="245"/>
      <x:c r="AP14" s="150"/>
      <x:c r="AQ14" s="151"/>
      <x:c r="AR14" s="152"/>
      <x:c r="AS14" s="162"/>
      <x:c r="AT14" s="163"/>
      <x:c r="AU14" s="164"/>
      <x:c r="AV14" s="163"/>
      <x:c r="AW14" s="164"/>
      <x:c r="AX14" s="165"/>
      <x:c r="AY14" s="113"/>
      <x:c r="AZ14" s="114"/>
      <x:c r="BA14" s="209"/>
      <x:c r="BB14" s="210"/>
      <x:c r="BC14" s="209"/>
      <x:c r="BD14" s="210"/>
      <x:c r="BE14" s="216"/>
      <x:c r="BF14" s="217"/>
      <x:c r="BG14" s="217"/>
      <x:c r="BH14" s="217"/>
      <x:c r="BI14" s="217"/>
      <x:c r="BJ14" s="217"/>
      <x:c r="BK14" s="217"/>
      <x:c r="BL14" s="218"/>
      <x:c r="BM14" s="22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Z14" s="17"/>
      <x:c r="CA14" s="17"/>
      <x:c r="CB14" s="17"/>
      <x:c r="CC14" s="17"/>
      <x:c r="CD14" s="17"/>
      <x:c r="CE14" s="17"/>
      <x:c r="CF14" s="17"/>
      <x:c r="CG14" s="51" t="s">
        <x:v>76</x:v>
      </x:c>
    </x:row>
    <x:row r="15" ht="36.75" customHeight="1">
      <x:c r="B15" s="23"/>
      <x:c r="C15" s="15" t="s">
        <x:v>77</x:v>
      </x:c>
      <x:c r="D15" s="90" t="s">
        <x:v>78</x:v>
      </x:c>
      <x:c r="E15" s="90"/>
      <x:c r="F15" s="90"/>
      <x:c r="G15" s="90"/>
      <x:c r="H15" s="91"/>
      <x:c r="I15" s="17"/>
      <x:c r="J15" s="254" t="s">
        <x:v>79</x:v>
      </x:c>
      <x:c r="K15" s="257">
        <x:v>2</x:v>
      </x:c>
      <x:c r="L15" s="92"/>
      <x:c r="M15" s="93"/>
      <x:c r="N15" s="93"/>
      <x:c r="O15" s="94"/>
      <x:c r="P15" s="258"/>
      <x:c r="Q15" s="259"/>
      <x:c r="R15" s="92"/>
      <x:c r="S15" s="93"/>
      <x:c r="T15" s="93"/>
      <x:c r="U15" s="94"/>
      <x:c r="V15" s="92"/>
      <x:c r="W15" s="93"/>
      <x:c r="X15" s="93"/>
      <x:c r="Y15" s="94"/>
      <x:c r="Z15" s="92"/>
      <x:c r="AA15" s="93"/>
      <x:c r="AB15" s="93"/>
      <x:c r="AC15" s="94"/>
      <x:c r="AD15" s="92"/>
      <x:c r="AE15" s="93"/>
      <x:c r="AF15" s="93"/>
      <x:c r="AG15" s="94"/>
      <x:c r="AH15" s="69"/>
      <x:c r="AI15" s="125"/>
      <x:c r="AJ15" s="126"/>
      <x:c r="AK15" s="126"/>
      <x:c r="AL15" s="127"/>
      <x:c r="AM15" s="68" t="str">
        <x:f t="shared" si="1"/>
      </x:c>
      <x:c r="AN15" s="246"/>
      <x:c r="AO15" s="247"/>
      <x:c r="AP15" s="159"/>
      <x:c r="AQ15" s="160"/>
      <x:c r="AR15" s="161"/>
      <x:c r="AS15" s="166"/>
      <x:c r="AT15" s="167"/>
      <x:c r="AU15" s="205"/>
      <x:c r="AV15" s="167"/>
      <x:c r="AW15" s="205"/>
      <x:c r="AX15" s="206"/>
      <x:c r="AY15" s="139"/>
      <x:c r="AZ15" s="140"/>
      <x:c r="BA15" s="207"/>
      <x:c r="BB15" s="208"/>
      <x:c r="BC15" s="207"/>
      <x:c r="BD15" s="208"/>
      <x:c r="BE15" s="199"/>
      <x:c r="BF15" s="200"/>
      <x:c r="BG15" s="200"/>
      <x:c r="BH15" s="200"/>
      <x:c r="BI15" s="200"/>
      <x:c r="BJ15" s="200"/>
      <x:c r="BK15" s="200"/>
      <x:c r="BL15" s="201"/>
      <x:c r="BM15" s="22"/>
      <x:c r="BP15" s="307" t="s">
        <x:v>80</x:v>
      </x:c>
      <x:c r="BQ15" s="308"/>
      <x:c r="BR15" s="306" t="s">
        <x:v>41</x:v>
      </x:c>
      <x:c r="BS15" s="306"/>
      <x:c r="BT15" s="306"/>
      <x:c r="BU15" s="306"/>
      <x:c r="BV15" s="44" t="s">
        <x:v>52</x:v>
      </x:c>
      <x:c r="BW15" s="44" t="s">
        <x:v>53</x:v>
      </x:c>
      <x:c r="BX15" s="44" t="s">
        <x:v>54</x:v>
      </x:c>
      <x:c r="BZ15" s="17"/>
      <x:c r="CA15" s="17"/>
      <x:c r="CB15" s="17"/>
      <x:c r="CC15" s="17"/>
      <x:c r="CD15" s="17"/>
      <x:c r="CE15" s="17"/>
      <x:c r="CF15" s="17"/>
      <x:c r="CG15" s="51" t="s">
        <x:v>81</x:v>
      </x:c>
    </x:row>
    <x:row r="16" ht="36.75" customHeight="1">
      <x:c r="B16" s="23"/>
      <x:c r="C16" s="15" t="s">
        <x:v>82</x:v>
      </x:c>
      <x:c r="D16" s="90" t="s">
        <x:v>83</x:v>
      </x:c>
      <x:c r="E16" s="90"/>
      <x:c r="F16" s="90"/>
      <x:c r="G16" s="90"/>
      <x:c r="H16" s="91"/>
      <x:c r="I16" s="17"/>
      <x:c r="J16" s="255"/>
      <x:c r="K16" s="255"/>
      <x:c r="L16" s="95">
        <x:v>0.5</x:v>
      </x:c>
      <x:c r="M16" s="96"/>
      <x:c r="N16" s="96"/>
      <x:c r="O16" s="97"/>
      <x:c r="P16" s="197"/>
      <x:c r="Q16" s="198"/>
      <x:c r="R16" s="95">
        <x:v>0.75</x:v>
      </x:c>
      <x:c r="S16" s="96"/>
      <x:c r="T16" s="96"/>
      <x:c r="U16" s="97"/>
      <x:c r="V16" s="95">
        <x:v>0.25</x:v>
      </x:c>
      <x:c r="W16" s="96"/>
      <x:c r="X16" s="96"/>
      <x:c r="Y16" s="97"/>
      <x:c r="Z16" s="95"/>
      <x:c r="AA16" s="96"/>
      <x:c r="AB16" s="96"/>
      <x:c r="AC16" s="97"/>
      <x:c r="AD16" s="95"/>
      <x:c r="AE16" s="96"/>
      <x:c r="AF16" s="96"/>
      <x:c r="AG16" s="97"/>
      <x:c r="AH16" s="69"/>
      <x:c r="AI16" s="128">
        <x:v>0</x:v>
      </x:c>
      <x:c r="AJ16" s="129"/>
      <x:c r="AK16" s="129"/>
      <x:c r="AL16" s="130"/>
      <x:c r="AM16" s="73" t="str">
        <x:f t="shared" si="1"/>
      </x:c>
      <x:c r="AN16" s="132"/>
      <x:c r="AO16" s="133"/>
      <x:c r="AP16" s="147"/>
      <x:c r="AQ16" s="148"/>
      <x:c r="AR16" s="149"/>
      <x:c r="AS16" s="243"/>
      <x:c r="AT16" s="212"/>
      <x:c r="AU16" s="211"/>
      <x:c r="AV16" s="212"/>
      <x:c r="AW16" s="211"/>
      <x:c r="AX16" s="213"/>
      <x:c r="AY16" s="111"/>
      <x:c r="AZ16" s="112"/>
      <x:c r="BA16" s="214"/>
      <x:c r="BB16" s="215"/>
      <x:c r="BC16" s="214"/>
      <x:c r="BD16" s="215"/>
      <x:c r="BE16" s="202"/>
      <x:c r="BF16" s="203"/>
      <x:c r="BG16" s="203"/>
      <x:c r="BH16" s="203"/>
      <x:c r="BI16" s="203"/>
      <x:c r="BJ16" s="203"/>
      <x:c r="BK16" s="203"/>
      <x:c r="BL16" s="204"/>
      <x:c r="BM16" s="22"/>
      <x:c r="BP16" s="309"/>
      <x:c r="BQ16" s="310"/>
      <x:c r="BR16" s="49" t="s">
        <x:v>65</x:v>
      </x:c>
      <x:c r="BS16" s="49" t="s">
        <x:v>65</x:v>
      </x:c>
      <x:c r="BT16" s="49" t="s">
        <x:v>84</x:v>
      </x:c>
      <x:c r="BU16" s="49" t="s">
        <x:v>84</x:v>
      </x:c>
      <x:c r="BV16" s="304" t="s">
        <x:v>85</x:v>
      </x:c>
      <x:c r="BW16" s="304"/>
      <x:c r="BX16" s="304"/>
      <x:c r="BZ16" s="17"/>
      <x:c r="CA16" s="17"/>
      <x:c r="CB16" s="17"/>
      <x:c r="CC16" s="17"/>
      <x:c r="CD16" s="17"/>
      <x:c r="CE16" s="17"/>
      <x:c r="CF16" s="17"/>
      <x:c r="CG16" s="51" t="s">
        <x:v>84</x:v>
      </x:c>
    </x:row>
    <x:row r="17" ht="36.75" customHeight="1">
      <x:c r="B17" s="23"/>
      <x:c r="C17" s="15" t="s">
        <x:v>86</x:v>
      </x:c>
      <x:c r="D17" s="90" t="s">
        <x:v>87</x:v>
      </x:c>
      <x:c r="E17" s="90"/>
      <x:c r="F17" s="90"/>
      <x:c r="G17" s="90"/>
      <x:c r="H17" s="91"/>
      <x:c r="I17" s="17"/>
      <x:c r="J17" s="256"/>
      <x:c r="K17" s="256"/>
      <x:c r="L17" s="95"/>
      <x:c r="M17" s="96"/>
      <x:c r="N17" s="96"/>
      <x:c r="O17" s="97"/>
      <x:c r="P17" s="195"/>
      <x:c r="Q17" s="196"/>
      <x:c r="R17" s="98"/>
      <x:c r="S17" s="99"/>
      <x:c r="T17" s="99"/>
      <x:c r="U17" s="100"/>
      <x:c r="V17" s="98"/>
      <x:c r="W17" s="99"/>
      <x:c r="X17" s="99"/>
      <x:c r="Y17" s="100"/>
      <x:c r="Z17" s="98"/>
      <x:c r="AA17" s="99"/>
      <x:c r="AB17" s="99"/>
      <x:c r="AC17" s="100"/>
      <x:c r="AD17" s="98"/>
      <x:c r="AE17" s="99"/>
      <x:c r="AF17" s="99"/>
      <x:c r="AG17" s="100"/>
      <x:c r="AH17" s="71"/>
      <x:c r="AI17" s="144"/>
      <x:c r="AJ17" s="145"/>
      <x:c r="AK17" s="145"/>
      <x:c r="AL17" s="146"/>
      <x:c r="AM17" s="72" t="str">
        <x:f t="shared" si="1"/>
      </x:c>
      <x:c r="AN17" s="153"/>
      <x:c r="AO17" s="154"/>
      <x:c r="AP17" s="150"/>
      <x:c r="AQ17" s="151"/>
      <x:c r="AR17" s="152"/>
      <x:c r="AS17" s="162"/>
      <x:c r="AT17" s="163"/>
      <x:c r="AU17" s="164"/>
      <x:c r="AV17" s="163"/>
      <x:c r="AW17" s="164"/>
      <x:c r="AX17" s="165"/>
      <x:c r="AY17" s="113"/>
      <x:c r="AZ17" s="114"/>
      <x:c r="BA17" s="209"/>
      <x:c r="BB17" s="210"/>
      <x:c r="BC17" s="209"/>
      <x:c r="BD17" s="210"/>
      <x:c r="BE17" s="216"/>
      <x:c r="BF17" s="217"/>
      <x:c r="BG17" s="217"/>
      <x:c r="BH17" s="217"/>
      <x:c r="BI17" s="217"/>
      <x:c r="BJ17" s="217"/>
      <x:c r="BK17" s="217"/>
      <x:c r="BL17" s="218"/>
      <x:c r="BM17" s="22"/>
      <x:c r="BP17" s="274" t="s">
        <x:v>68</x:v>
      </x:c>
      <x:c r="BQ17" s="274">
        <x:v>1</x:v>
      </x:c>
      <x:c r="BR17" s="50" t="str">
        <x:f>IF(Timesheet!L12="","No Data",Timesheet!L12)</x:f>
        <x:v>No Data</x:v>
      </x:c>
      <x:c r="BS17" s="50" t="str">
        <x:f>IF(Timesheet!M12="","No Data",Timesheet!M12)</x:f>
        <x:v>No Data</x:v>
      </x:c>
      <x:c r="BT17" s="50" t="str">
        <x:f>IF(Timesheet!N12="","No Data",Timesheet!N12)</x:f>
        <x:v>No Data</x:v>
      </x:c>
      <x:c r="BU17" s="50" t="str">
        <x:f>IF(Timesheet!O12="","No Data",Timesheet!O12)</x:f>
        <x:v>No Data</x:v>
      </x:c>
      <x:c r="BV17" s="50" t="str">
        <x:f>IF(BR17="No Data","OK",IF(Timesheet!AS12="","Check","OK"))</x:f>
        <x:v>OK</x:v>
      </x:c>
      <x:c r="BW17" s="50" t="str">
        <x:f>IF(BR17="No Data","OK",IF(Timesheet!AU12="","Check","OK"))</x:f>
        <x:v>OK</x:v>
      </x:c>
      <x:c r="BX17" s="50" t="str">
        <x:f>IF(BR17="No Data","OK",IF(Timesheet!AW12="","Check","OK"))</x:f>
        <x:v>OK</x:v>
      </x:c>
      <x:c r="BZ17" s="17"/>
      <x:c r="CA17" s="17"/>
      <x:c r="CB17" s="17"/>
      <x:c r="CC17" s="17"/>
      <x:c r="CD17" s="17"/>
      <x:c r="CE17" s="17"/>
      <x:c r="CF17" s="17"/>
      <x:c r="CG17" s="51" t="s">
        <x:v>88</x:v>
      </x:c>
    </x:row>
    <x:row r="18" ht="36.75" customHeight="1">
      <x:c r="B18" s="23"/>
      <x:c r="C18" s="15" t="s">
        <x:v>89</x:v>
      </x:c>
      <x:c r="D18" s="90" t="s">
        <x:v>90</x:v>
      </x:c>
      <x:c r="E18" s="90"/>
      <x:c r="F18" s="90"/>
      <x:c r="G18" s="90"/>
      <x:c r="H18" s="91"/>
      <x:c r="I18" s="17"/>
      <x:c r="J18" s="254" t="s">
        <x:v>91</x:v>
      </x:c>
      <x:c r="K18" s="257">
        <x:v>3</x:v>
      </x:c>
      <x:c r="L18" s="92"/>
      <x:c r="M18" s="93"/>
      <x:c r="N18" s="93"/>
      <x:c r="O18" s="94"/>
      <x:c r="P18" s="258"/>
      <x:c r="Q18" s="259"/>
      <x:c r="R18" s="92"/>
      <x:c r="S18" s="93"/>
      <x:c r="T18" s="93"/>
      <x:c r="U18" s="94"/>
      <x:c r="V18" s="92"/>
      <x:c r="W18" s="93"/>
      <x:c r="X18" s="93"/>
      <x:c r="Y18" s="94"/>
      <x:c r="Z18" s="92"/>
      <x:c r="AA18" s="93"/>
      <x:c r="AB18" s="93"/>
      <x:c r="AC18" s="94"/>
      <x:c r="AD18" s="92"/>
      <x:c r="AE18" s="93"/>
      <x:c r="AF18" s="93"/>
      <x:c r="AG18" s="94"/>
      <x:c r="AH18" s="67"/>
      <x:c r="AI18" s="125"/>
      <x:c r="AJ18" s="126"/>
      <x:c r="AK18" s="126"/>
      <x:c r="AL18" s="127"/>
      <x:c r="AM18" s="68"/>
      <x:c r="AN18" s="157"/>
      <x:c r="AO18" s="158"/>
      <x:c r="AP18" s="159"/>
      <x:c r="AQ18" s="160"/>
      <x:c r="AR18" s="161"/>
      <x:c r="AS18" s="166"/>
      <x:c r="AT18" s="167"/>
      <x:c r="AU18" s="205"/>
      <x:c r="AV18" s="167"/>
      <x:c r="AW18" s="205"/>
      <x:c r="AX18" s="206"/>
      <x:c r="AY18" s="139"/>
      <x:c r="AZ18" s="140"/>
      <x:c r="BA18" s="207"/>
      <x:c r="BB18" s="208"/>
      <x:c r="BC18" s="207"/>
      <x:c r="BD18" s="208"/>
      <x:c r="BE18" s="199"/>
      <x:c r="BF18" s="200"/>
      <x:c r="BG18" s="200"/>
      <x:c r="BH18" s="200"/>
      <x:c r="BI18" s="200"/>
      <x:c r="BJ18" s="200"/>
      <x:c r="BK18" s="200"/>
      <x:c r="BL18" s="201"/>
      <x:c r="BM18" s="22"/>
      <x:c r="BP18" s="275"/>
      <x:c r="BQ18" s="275"/>
      <x:c r="BR18" s="50">
        <x:f>IF(Timesheet!L13="","No Data",Timesheet!L13)</x:f>
        <x:v>0.5</x:v>
      </x:c>
      <x:c r="BS18" s="50" t="str">
        <x:f>IF(Timesheet!M13="","No Data",Timesheet!M13)</x:f>
        <x:v>No Data</x:v>
      </x:c>
      <x:c r="BT18" s="50" t="str">
        <x:f>IF(Timesheet!N13="","No Data",Timesheet!N13)</x:f>
        <x:v>No Data</x:v>
      </x:c>
      <x:c r="BU18" s="50" t="str">
        <x:f>IF(Timesheet!O13="","No Data",Timesheet!O13)</x:f>
        <x:v>No Data</x:v>
      </x:c>
      <x:c r="BV18" s="50" t="str">
        <x:f>IF(BR18="No Data","OK",IF(Timesheet!AS13="","Check","OK"))</x:f>
        <x:v>Check</x:v>
      </x:c>
      <x:c r="BW18" s="50" t="str">
        <x:f>IF(BR18="No Data","OK",IF(Timesheet!AU13="","Check","OK"))</x:f>
        <x:v>Check</x:v>
      </x:c>
      <x:c r="BX18" s="50" t="str">
        <x:f>IF(BR18="No Data","OK",IF(Timesheet!AW13="","Check","OK"))</x:f>
        <x:v>Check</x:v>
      </x:c>
      <x:c r="BZ18" s="17"/>
      <x:c r="CA18" s="17"/>
      <x:c r="CB18" s="17"/>
      <x:c r="CC18" s="17"/>
      <x:c r="CD18" s="17"/>
      <x:c r="CE18" s="17"/>
      <x:c r="CF18" s="17"/>
      <x:c r="CG18" s="51" t="s">
        <x:v>92</x:v>
      </x:c>
    </x:row>
    <x:row r="19" ht="36.75" customHeight="1">
      <x:c r="B19" s="23"/>
      <x:c r="C19" s="15" t="s">
        <x:v>93</x:v>
      </x:c>
      <x:c r="D19" s="90" t="s">
        <x:v>94</x:v>
      </x:c>
      <x:c r="E19" s="90"/>
      <x:c r="F19" s="90"/>
      <x:c r="G19" s="90"/>
      <x:c r="H19" s="91"/>
      <x:c r="I19" s="17"/>
      <x:c r="J19" s="255"/>
      <x:c r="K19" s="255"/>
      <x:c r="L19" s="95">
        <x:v>0.5</x:v>
      </x:c>
      <x:c r="M19" s="96"/>
      <x:c r="N19" s="96"/>
      <x:c r="O19" s="97"/>
      <x:c r="P19" s="197"/>
      <x:c r="Q19" s="198"/>
      <x:c r="R19" s="95">
        <x:v>0.75</x:v>
      </x:c>
      <x:c r="S19" s="96"/>
      <x:c r="T19" s="96"/>
      <x:c r="U19" s="97"/>
      <x:c r="V19" s="95">
        <x:v>0.25</x:v>
      </x:c>
      <x:c r="W19" s="96"/>
      <x:c r="X19" s="96"/>
      <x:c r="Y19" s="97"/>
      <x:c r="Z19" s="95"/>
      <x:c r="AA19" s="96"/>
      <x:c r="AB19" s="96"/>
      <x:c r="AC19" s="97"/>
      <x:c r="AD19" s="95"/>
      <x:c r="AE19" s="96"/>
      <x:c r="AF19" s="96"/>
      <x:c r="AG19" s="97"/>
      <x:c r="AH19" s="69"/>
      <x:c r="AI19" s="168">
        <x:v>4.1666666666666664E-2</x:v>
      </x:c>
      <x:c r="AJ19" s="169"/>
      <x:c r="AK19" s="169"/>
      <x:c r="AL19" s="170"/>
      <x:c r="AM19" s="73"/>
      <x:c r="AN19" s="155"/>
      <x:c r="AO19" s="156"/>
      <x:c r="AP19" s="147"/>
      <x:c r="AQ19" s="148"/>
      <x:c r="AR19" s="149"/>
      <x:c r="AS19" s="243"/>
      <x:c r="AT19" s="212"/>
      <x:c r="AU19" s="211"/>
      <x:c r="AV19" s="212"/>
      <x:c r="AW19" s="211"/>
      <x:c r="AX19" s="213"/>
      <x:c r="AY19" s="111"/>
      <x:c r="AZ19" s="112"/>
      <x:c r="BA19" s="214"/>
      <x:c r="BB19" s="215"/>
      <x:c r="BC19" s="214"/>
      <x:c r="BD19" s="215"/>
      <x:c r="BE19" s="202"/>
      <x:c r="BF19" s="203"/>
      <x:c r="BG19" s="203"/>
      <x:c r="BH19" s="203"/>
      <x:c r="BI19" s="203"/>
      <x:c r="BJ19" s="203"/>
      <x:c r="BK19" s="203"/>
      <x:c r="BL19" s="204"/>
      <x:c r="BM19" s="22"/>
      <x:c r="BP19" s="276"/>
      <x:c r="BQ19" s="276"/>
      <x:c r="BR19" s="50" t="str">
        <x:f>IF(Timesheet!L14="","No Data",Timesheet!L14)</x:f>
        <x:v>No Data</x:v>
      </x:c>
      <x:c r="BS19" s="50" t="str">
        <x:f>IF(Timesheet!M14="","No Data",Timesheet!M14)</x:f>
        <x:v>No Data</x:v>
      </x:c>
      <x:c r="BT19" s="50" t="str">
        <x:f>IF(Timesheet!N14="","No Data",Timesheet!N14)</x:f>
        <x:v>No Data</x:v>
      </x:c>
      <x:c r="BU19" s="50" t="str">
        <x:f>IF(Timesheet!O14="","No Data",Timesheet!O14)</x:f>
        <x:v>No Data</x:v>
      </x:c>
      <x:c r="BV19" s="50" t="str">
        <x:f>IF(BR19="No Data","OK",IF(Timesheet!AS14="","Check","OK"))</x:f>
        <x:v>OK</x:v>
      </x:c>
      <x:c r="BW19" s="50" t="str">
        <x:f>IF(BR19="No Data","OK",IF(Timesheet!AU14="","Check","OK"))</x:f>
        <x:v>OK</x:v>
      </x:c>
      <x:c r="BX19" s="50" t="str">
        <x:f>IF(BR19="No Data","OK",IF(Timesheet!AW14="","Check","OK"))</x:f>
        <x:v>OK</x:v>
      </x:c>
      <x:c r="BZ19" s="17"/>
      <x:c r="CA19" s="17"/>
      <x:c r="CB19" s="17"/>
      <x:c r="CC19" s="17"/>
      <x:c r="CD19" s="17"/>
      <x:c r="CE19" s="17"/>
      <x:c r="CF19" s="17"/>
      <x:c r="CG19" s="51" t="s">
        <x:v>95</x:v>
      </x:c>
    </x:row>
    <x:row r="20" ht="36.75" customHeight="1">
      <x:c r="B20" s="23"/>
      <x:c r="C20" s="15" t="s">
        <x:v>96</x:v>
      </x:c>
      <x:c r="D20" s="90" t="s">
        <x:v>97</x:v>
      </x:c>
      <x:c r="E20" s="90"/>
      <x:c r="F20" s="90"/>
      <x:c r="G20" s="90"/>
      <x:c r="H20" s="91"/>
      <x:c r="I20" s="17"/>
      <x:c r="J20" s="256"/>
      <x:c r="K20" s="256"/>
      <x:c r="L20" s="98"/>
      <x:c r="M20" s="99"/>
      <x:c r="N20" s="99"/>
      <x:c r="O20" s="100"/>
      <x:c r="P20" s="195"/>
      <x:c r="Q20" s="196"/>
      <x:c r="R20" s="98"/>
      <x:c r="S20" s="99"/>
      <x:c r="T20" s="99"/>
      <x:c r="U20" s="100"/>
      <x:c r="V20" s="98"/>
      <x:c r="W20" s="99"/>
      <x:c r="X20" s="99"/>
      <x:c r="Y20" s="100"/>
      <x:c r="Z20" s="98"/>
      <x:c r="AA20" s="99"/>
      <x:c r="AB20" s="99"/>
      <x:c r="AC20" s="100"/>
      <x:c r="AD20" s="98"/>
      <x:c r="AE20" s="99"/>
      <x:c r="AF20" s="99"/>
      <x:c r="AG20" s="100"/>
      <x:c r="AH20" s="71"/>
      <x:c r="AI20" s="141"/>
      <x:c r="AJ20" s="142"/>
      <x:c r="AK20" s="142"/>
      <x:c r="AL20" s="143"/>
      <x:c r="AM20" s="72" t="str">
        <x:f t="shared" si="1"/>
      </x:c>
      <x:c r="AN20" s="153"/>
      <x:c r="AO20" s="154"/>
      <x:c r="AP20" s="150"/>
      <x:c r="AQ20" s="151"/>
      <x:c r="AR20" s="152"/>
      <x:c r="AS20" s="162"/>
      <x:c r="AT20" s="163"/>
      <x:c r="AU20" s="164"/>
      <x:c r="AV20" s="163"/>
      <x:c r="AW20" s="164"/>
      <x:c r="AX20" s="165"/>
      <x:c r="AY20" s="113"/>
      <x:c r="AZ20" s="114"/>
      <x:c r="BA20" s="209"/>
      <x:c r="BB20" s="210"/>
      <x:c r="BC20" s="209"/>
      <x:c r="BD20" s="210"/>
      <x:c r="BE20" s="216"/>
      <x:c r="BF20" s="217"/>
      <x:c r="BG20" s="217"/>
      <x:c r="BH20" s="217"/>
      <x:c r="BI20" s="217"/>
      <x:c r="BJ20" s="217"/>
      <x:c r="BK20" s="217"/>
      <x:c r="BL20" s="218"/>
      <x:c r="BM20" s="22"/>
      <x:c r="BP20" s="274" t="s">
        <x:v>79</x:v>
      </x:c>
      <x:c r="BQ20" s="274">
        <x:v>2</x:v>
      </x:c>
      <x:c r="BR20" s="50" t="str">
        <x:f>IF(Timesheet!L15="","No Data",Timesheet!L15)</x:f>
        <x:v>No Data</x:v>
      </x:c>
      <x:c r="BS20" s="50" t="str">
        <x:f>IF(Timesheet!M15="","No Data",Timesheet!M15)</x:f>
        <x:v>No Data</x:v>
      </x:c>
      <x:c r="BT20" s="50" t="str">
        <x:f>IF(Timesheet!N15="","No Data",Timesheet!N15)</x:f>
        <x:v>No Data</x:v>
      </x:c>
      <x:c r="BU20" s="50" t="str">
        <x:f>IF(Timesheet!O15="","No Data",Timesheet!O15)</x:f>
        <x:v>No Data</x:v>
      </x:c>
      <x:c r="BV20" s="50" t="str">
        <x:f>IF(BR20="No Data","OK",IF(Timesheet!AS15="","Check","OK"))</x:f>
        <x:v>OK</x:v>
      </x:c>
      <x:c r="BW20" s="50" t="str">
        <x:f>IF(BR20="No Data","OK",IF(Timesheet!AU15="","Check","OK"))</x:f>
        <x:v>OK</x:v>
      </x:c>
      <x:c r="BX20" s="50" t="str">
        <x:f>IF(BR20="No Data","OK",IF(Timesheet!AW15="","Check","OK"))</x:f>
        <x:v>OK</x:v>
      </x:c>
      <x:c r="BZ20" s="17"/>
      <x:c r="CA20" s="17"/>
      <x:c r="CB20" s="17"/>
      <x:c r="CC20" s="17"/>
      <x:c r="CD20" s="17"/>
      <x:c r="CE20" s="17"/>
      <x:c r="CF20" s="17"/>
      <x:c r="CG20" s="51" t="s">
        <x:v>98</x:v>
      </x:c>
    </x:row>
    <x:row r="21" ht="36.75" customHeight="1">
      <x:c r="B21" s="23"/>
      <x:c r="C21" s="15" t="s">
        <x:v>99</x:v>
      </x:c>
      <x:c r="D21" s="90" t="s">
        <x:v>100</x:v>
      </x:c>
      <x:c r="E21" s="90"/>
      <x:c r="F21" s="90"/>
      <x:c r="G21" s="90"/>
      <x:c r="H21" s="91"/>
      <x:c r="I21" s="17"/>
      <x:c r="J21" s="254" t="s">
        <x:v>101</x:v>
      </x:c>
      <x:c r="K21" s="257">
        <x:v>4</x:v>
      </x:c>
      <x:c r="L21" s="92"/>
      <x:c r="M21" s="93"/>
      <x:c r="N21" s="93"/>
      <x:c r="O21" s="94"/>
      <x:c r="P21" s="258"/>
      <x:c r="Q21" s="259"/>
      <x:c r="R21" s="92"/>
      <x:c r="S21" s="93"/>
      <x:c r="T21" s="93"/>
      <x:c r="U21" s="94"/>
      <x:c r="V21" s="92"/>
      <x:c r="W21" s="93"/>
      <x:c r="X21" s="93"/>
      <x:c r="Y21" s="94"/>
      <x:c r="Z21" s="92"/>
      <x:c r="AA21" s="93"/>
      <x:c r="AB21" s="93"/>
      <x:c r="AC21" s="94"/>
      <x:c r="AD21" s="92"/>
      <x:c r="AE21" s="93"/>
      <x:c r="AF21" s="93"/>
      <x:c r="AG21" s="94"/>
      <x:c r="AH21" s="67"/>
      <x:c r="AI21" s="171"/>
      <x:c r="AJ21" s="172"/>
      <x:c r="AK21" s="172"/>
      <x:c r="AL21" s="173"/>
      <x:c r="AM21" s="68" t="str">
        <x:f t="shared" si="1"/>
      </x:c>
      <x:c r="AN21" s="157"/>
      <x:c r="AO21" s="158"/>
      <x:c r="AP21" s="159"/>
      <x:c r="AQ21" s="160"/>
      <x:c r="AR21" s="161"/>
      <x:c r="AS21" s="166"/>
      <x:c r="AT21" s="167"/>
      <x:c r="AU21" s="205"/>
      <x:c r="AV21" s="167"/>
      <x:c r="AW21" s="205"/>
      <x:c r="AX21" s="206"/>
      <x:c r="AY21" s="139"/>
      <x:c r="AZ21" s="140"/>
      <x:c r="BA21" s="207"/>
      <x:c r="BB21" s="208"/>
      <x:c r="BC21" s="207"/>
      <x:c r="BD21" s="208"/>
      <x:c r="BE21" s="199"/>
      <x:c r="BF21" s="200"/>
      <x:c r="BG21" s="200"/>
      <x:c r="BH21" s="200"/>
      <x:c r="BI21" s="200"/>
      <x:c r="BJ21" s="200"/>
      <x:c r="BK21" s="200"/>
      <x:c r="BL21" s="201"/>
      <x:c r="BM21" s="22"/>
      <x:c r="BP21" s="275"/>
      <x:c r="BQ21" s="275"/>
      <x:c r="BR21" s="50">
        <x:f>IF(Timesheet!L16="","No Data",Timesheet!L16)</x:f>
        <x:v>0.5</x:v>
      </x:c>
      <x:c r="BS21" s="50" t="str">
        <x:f>IF(Timesheet!M16="","No Data",Timesheet!M16)</x:f>
        <x:v>No Data</x:v>
      </x:c>
      <x:c r="BT21" s="50" t="str">
        <x:f>IF(Timesheet!N16="","No Data",Timesheet!N16)</x:f>
        <x:v>No Data</x:v>
      </x:c>
      <x:c r="BU21" s="50" t="str">
        <x:f>IF(Timesheet!O16="","No Data",Timesheet!O16)</x:f>
        <x:v>No Data</x:v>
      </x:c>
      <x:c r="BV21" s="50" t="str">
        <x:f>IF(BR21="No Data","OK",IF(Timesheet!AS16="","Check","OK"))</x:f>
        <x:v>Check</x:v>
      </x:c>
      <x:c r="BW21" s="50" t="str">
        <x:f>IF(BR21="No Data","OK",IF(Timesheet!AU16="","Check","OK"))</x:f>
        <x:v>Check</x:v>
      </x:c>
      <x:c r="BX21" s="50" t="str">
        <x:f>IF(BR21="No Data","OK",IF(Timesheet!AW16="","Check","OK"))</x:f>
        <x:v>Check</x:v>
      </x:c>
      <x:c r="BZ21" s="17"/>
      <x:c r="CA21" s="17"/>
      <x:c r="CB21" s="17"/>
      <x:c r="CC21" s="17"/>
      <x:c r="CD21" s="17"/>
      <x:c r="CE21" s="17"/>
      <x:c r="CF21" s="17"/>
      <x:c r="CG21" s="51" t="s">
        <x:v>102</x:v>
      </x:c>
    </x:row>
    <x:row r="22" ht="36.75" customHeight="1">
      <x:c r="B22" s="23"/>
      <x:c r="C22" s="15" t="s">
        <x:v>103</x:v>
      </x:c>
      <x:c r="D22" s="90" t="s">
        <x:v>104</x:v>
      </x:c>
      <x:c r="E22" s="90"/>
      <x:c r="F22" s="90"/>
      <x:c r="G22" s="90"/>
      <x:c r="H22" s="91"/>
      <x:c r="I22" s="17"/>
      <x:c r="J22" s="255"/>
      <x:c r="K22" s="255"/>
      <x:c r="L22" s="95">
        <x:v>0.5</x:v>
      </x:c>
      <x:c r="M22" s="96"/>
      <x:c r="N22" s="96"/>
      <x:c r="O22" s="97"/>
      <x:c r="P22" s="197"/>
      <x:c r="Q22" s="198"/>
      <x:c r="R22" s="95">
        <x:v>0.75</x:v>
      </x:c>
      <x:c r="S22" s="96"/>
      <x:c r="T22" s="96"/>
      <x:c r="U22" s="97"/>
      <x:c r="V22" s="95">
        <x:v>0.25</x:v>
      </x:c>
      <x:c r="W22" s="96"/>
      <x:c r="X22" s="96"/>
      <x:c r="Y22" s="97"/>
      <x:c r="Z22" s="95"/>
      <x:c r="AA22" s="96"/>
      <x:c r="AB22" s="96"/>
      <x:c r="AC22" s="97"/>
      <x:c r="AD22" s="95"/>
      <x:c r="AE22" s="96"/>
      <x:c r="AF22" s="96"/>
      <x:c r="AG22" s="97"/>
      <x:c r="AH22" s="69"/>
      <x:c r="AI22" s="174">
        <x:v>0.5</x:v>
      </x:c>
      <x:c r="AJ22" s="175"/>
      <x:c r="AK22" s="175"/>
      <x:c r="AL22" s="176"/>
      <x:c r="AM22" s="73" t="str">
        <x:f t="shared" si="1"/>
      </x:c>
      <x:c r="AN22" s="155"/>
      <x:c r="AO22" s="156"/>
      <x:c r="AP22" s="147"/>
      <x:c r="AQ22" s="148"/>
      <x:c r="AR22" s="149"/>
      <x:c r="AS22" s="243"/>
      <x:c r="AT22" s="212"/>
      <x:c r="AU22" s="211"/>
      <x:c r="AV22" s="212"/>
      <x:c r="AW22" s="211"/>
      <x:c r="AX22" s="213"/>
      <x:c r="AY22" s="111"/>
      <x:c r="AZ22" s="112"/>
      <x:c r="BA22" s="214"/>
      <x:c r="BB22" s="215"/>
      <x:c r="BC22" s="214"/>
      <x:c r="BD22" s="215"/>
      <x:c r="BE22" s="202"/>
      <x:c r="BF22" s="203"/>
      <x:c r="BG22" s="203"/>
      <x:c r="BH22" s="203"/>
      <x:c r="BI22" s="203"/>
      <x:c r="BJ22" s="203"/>
      <x:c r="BK22" s="203"/>
      <x:c r="BL22" s="204"/>
      <x:c r="BM22" s="22"/>
      <x:c r="BP22" s="276"/>
      <x:c r="BQ22" s="276"/>
      <x:c r="BR22" s="50" t="str">
        <x:f>IF(Timesheet!L17="","No Data",Timesheet!L17)</x:f>
        <x:v>No Data</x:v>
      </x:c>
      <x:c r="BS22" s="50" t="str">
        <x:f>IF(Timesheet!M17="","No Data",Timesheet!M17)</x:f>
        <x:v>No Data</x:v>
      </x:c>
      <x:c r="BT22" s="50" t="str">
        <x:f>IF(Timesheet!N17="","No Data",Timesheet!N17)</x:f>
        <x:v>No Data</x:v>
      </x:c>
      <x:c r="BU22" s="50" t="str">
        <x:f>IF(Timesheet!O17="","No Data",Timesheet!O17)</x:f>
        <x:v>No Data</x:v>
      </x:c>
      <x:c r="BV22" s="50" t="str">
        <x:f>IF(BR22="No Data","OK",IF(Timesheet!AS17="","Check","OK"))</x:f>
        <x:v>OK</x:v>
      </x:c>
      <x:c r="BW22" s="50" t="str">
        <x:f>IF(BR22="No Data","OK",IF(Timesheet!AU17="","Check","OK"))</x:f>
        <x:v>OK</x:v>
      </x:c>
      <x:c r="BX22" s="50" t="str">
        <x:f>IF(BR22="No Data","OK",IF(Timesheet!AW17="","Check","OK"))</x:f>
        <x:v>OK</x:v>
      </x:c>
      <x:c r="BZ22" s="17"/>
      <x:c r="CA22" s="17"/>
      <x:c r="CB22" s="17"/>
      <x:c r="CC22" s="17"/>
      <x:c r="CD22" s="17"/>
      <x:c r="CE22" s="17"/>
      <x:c r="CF22" s="17"/>
      <x:c r="CG22" s="51" t="s">
        <x:v>105</x:v>
      </x:c>
    </x:row>
    <x:row r="23" ht="36.75" customHeight="1">
      <x:c r="B23" s="23"/>
      <x:c r="C23" s="15" t="s">
        <x:v>106</x:v>
      </x:c>
      <x:c r="D23" s="90" t="s">
        <x:v>107</x:v>
      </x:c>
      <x:c r="E23" s="90"/>
      <x:c r="F23" s="90"/>
      <x:c r="G23" s="90"/>
      <x:c r="H23" s="91"/>
      <x:c r="I23" s="17"/>
      <x:c r="J23" s="256"/>
      <x:c r="K23" s="256"/>
      <x:c r="L23" s="95"/>
      <x:c r="M23" s="96"/>
      <x:c r="N23" s="96"/>
      <x:c r="O23" s="97"/>
      <x:c r="P23" s="195"/>
      <x:c r="Q23" s="196"/>
      <x:c r="R23" s="98"/>
      <x:c r="S23" s="99"/>
      <x:c r="T23" s="99"/>
      <x:c r="U23" s="100"/>
      <x:c r="V23" s="98"/>
      <x:c r="W23" s="99"/>
      <x:c r="X23" s="99"/>
      <x:c r="Y23" s="100"/>
      <x:c r="Z23" s="98"/>
      <x:c r="AA23" s="99"/>
      <x:c r="AB23" s="99"/>
      <x:c r="AC23" s="100"/>
      <x:c r="AD23" s="98"/>
      <x:c r="AE23" s="99"/>
      <x:c r="AF23" s="99"/>
      <x:c r="AG23" s="100"/>
      <x:c r="AH23" s="71"/>
      <x:c r="AI23" s="144"/>
      <x:c r="AJ23" s="145"/>
      <x:c r="AK23" s="145"/>
      <x:c r="AL23" s="146"/>
      <x:c r="AM23" s="72" t="str">
        <x:f t="shared" si="1"/>
      </x:c>
      <x:c r="AN23" s="153"/>
      <x:c r="AO23" s="154"/>
      <x:c r="AP23" s="150"/>
      <x:c r="AQ23" s="151"/>
      <x:c r="AR23" s="152"/>
      <x:c r="AS23" s="162"/>
      <x:c r="AT23" s="163"/>
      <x:c r="AU23" s="164"/>
      <x:c r="AV23" s="163"/>
      <x:c r="AW23" s="164"/>
      <x:c r="AX23" s="165"/>
      <x:c r="AY23" s="113"/>
      <x:c r="AZ23" s="114"/>
      <x:c r="BA23" s="209"/>
      <x:c r="BB23" s="210"/>
      <x:c r="BC23" s="209"/>
      <x:c r="BD23" s="210"/>
      <x:c r="BE23" s="216"/>
      <x:c r="BF23" s="217"/>
      <x:c r="BG23" s="217"/>
      <x:c r="BH23" s="217"/>
      <x:c r="BI23" s="217"/>
      <x:c r="BJ23" s="217"/>
      <x:c r="BK23" s="217"/>
      <x:c r="BL23" s="218"/>
      <x:c r="BM23" s="22"/>
      <x:c r="BP23" s="274" t="s">
        <x:v>91</x:v>
      </x:c>
      <x:c r="BQ23" s="274">
        <x:v>3</x:v>
      </x:c>
      <x:c r="BR23" s="50" t="str">
        <x:f>IF(Timesheet!L18="","No Data",Timesheet!L18)</x:f>
        <x:v>No Data</x:v>
      </x:c>
      <x:c r="BS23" s="50" t="str">
        <x:f>IF(Timesheet!M18="","No Data",Timesheet!M18)</x:f>
        <x:v>No Data</x:v>
      </x:c>
      <x:c r="BT23" s="50" t="str">
        <x:f>IF(Timesheet!N18="","No Data",Timesheet!N18)</x:f>
        <x:v>No Data</x:v>
      </x:c>
      <x:c r="BU23" s="50" t="str">
        <x:f>IF(Timesheet!O18="","No Data",Timesheet!O18)</x:f>
        <x:v>No Data</x:v>
      </x:c>
      <x:c r="BV23" s="50" t="str">
        <x:f>IF(BR23="No Data","OK",IF(Timesheet!AS18="","Check","OK"))</x:f>
        <x:v>OK</x:v>
      </x:c>
      <x:c r="BW23" s="50" t="str">
        <x:f>IF(BR23="No Data","OK",IF(Timesheet!AU18="","Check","OK"))</x:f>
        <x:v>OK</x:v>
      </x:c>
      <x:c r="BX23" s="50" t="str">
        <x:f>IF(BR23="No Data","OK",IF(Timesheet!AW18="","Check","OK"))</x:f>
        <x:v>OK</x:v>
      </x:c>
      <x:c r="BZ23" s="17"/>
      <x:c r="CA23" s="17"/>
      <x:c r="CB23" s="17"/>
      <x:c r="CC23" s="17"/>
      <x:c r="CD23" s="17"/>
      <x:c r="CE23" s="17"/>
      <x:c r="CF23" s="17"/>
      <x:c r="CG23" s="51" t="s">
        <x:v>108</x:v>
      </x:c>
    </x:row>
    <x:row r="24" ht="36.75" customHeight="1">
      <x:c r="B24" s="23"/>
      <x:c r="C24" s="15" t="s">
        <x:v>109</x:v>
      </x:c>
      <x:c r="D24" s="90" t="s">
        <x:v>110</x:v>
      </x:c>
      <x:c r="E24" s="90"/>
      <x:c r="F24" s="90"/>
      <x:c r="G24" s="90"/>
      <x:c r="H24" s="91"/>
      <x:c r="I24" s="17"/>
      <x:c r="J24" s="254" t="s">
        <x:v>111</x:v>
      </x:c>
      <x:c r="K24" s="257">
        <x:v>5</x:v>
      </x:c>
      <x:c r="L24" s="92"/>
      <x:c r="M24" s="93"/>
      <x:c r="N24" s="93"/>
      <x:c r="O24" s="94"/>
      <x:c r="P24" s="258"/>
      <x:c r="Q24" s="259"/>
      <x:c r="R24" s="92"/>
      <x:c r="S24" s="93"/>
      <x:c r="T24" s="93"/>
      <x:c r="U24" s="94"/>
      <x:c r="V24" s="92"/>
      <x:c r="W24" s="93"/>
      <x:c r="X24" s="93"/>
      <x:c r="Y24" s="94"/>
      <x:c r="Z24" s="92"/>
      <x:c r="AA24" s="93"/>
      <x:c r="AB24" s="93"/>
      <x:c r="AC24" s="94"/>
      <x:c r="AD24" s="92"/>
      <x:c r="AE24" s="93"/>
      <x:c r="AF24" s="93"/>
      <x:c r="AG24" s="94"/>
      <x:c r="AH24" s="67"/>
      <x:c r="AI24" s="171"/>
      <x:c r="AJ24" s="172"/>
      <x:c r="AK24" s="172"/>
      <x:c r="AL24" s="173"/>
      <x:c r="AM24" s="68" t="str">
        <x:f t="shared" si="1"/>
      </x:c>
      <x:c r="AN24" s="157"/>
      <x:c r="AO24" s="158"/>
      <x:c r="AP24" s="159"/>
      <x:c r="AQ24" s="160"/>
      <x:c r="AR24" s="161"/>
      <x:c r="AS24" s="166"/>
      <x:c r="AT24" s="167"/>
      <x:c r="AU24" s="205"/>
      <x:c r="AV24" s="167"/>
      <x:c r="AW24" s="205"/>
      <x:c r="AX24" s="206"/>
      <x:c r="AY24" s="139"/>
      <x:c r="AZ24" s="140"/>
      <x:c r="BA24" s="207"/>
      <x:c r="BB24" s="208"/>
      <x:c r="BC24" s="207"/>
      <x:c r="BD24" s="208"/>
      <x:c r="BE24" s="199"/>
      <x:c r="BF24" s="200"/>
      <x:c r="BG24" s="200"/>
      <x:c r="BH24" s="200"/>
      <x:c r="BI24" s="200"/>
      <x:c r="BJ24" s="200"/>
      <x:c r="BK24" s="200"/>
      <x:c r="BL24" s="201"/>
      <x:c r="BM24" s="22"/>
      <x:c r="BP24" s="275"/>
      <x:c r="BQ24" s="275"/>
      <x:c r="BR24" s="50">
        <x:f>IF(Timesheet!L19="","No Data",Timesheet!L19)</x:f>
        <x:v>0.5</x:v>
      </x:c>
      <x:c r="BS24" s="50" t="str">
        <x:f>IF(Timesheet!M19="","No Data",Timesheet!M19)</x:f>
        <x:v>No Data</x:v>
      </x:c>
      <x:c r="BT24" s="50" t="str">
        <x:f>IF(Timesheet!N19="","No Data",Timesheet!N19)</x:f>
        <x:v>No Data</x:v>
      </x:c>
      <x:c r="BU24" s="50" t="str">
        <x:f>IF(Timesheet!O19="","No Data",Timesheet!O19)</x:f>
        <x:v>No Data</x:v>
      </x:c>
      <x:c r="BV24" s="50" t="str">
        <x:f>IF(BR24="No Data","OK",IF(Timesheet!AS19="","Check","OK"))</x:f>
        <x:v>Check</x:v>
      </x:c>
      <x:c r="BW24" s="50" t="str">
        <x:f>IF(BR24="No Data","OK",IF(Timesheet!AU19="","Check","OK"))</x:f>
        <x:v>Check</x:v>
      </x:c>
      <x:c r="BX24" s="50" t="str">
        <x:f>IF(BR24="No Data","OK",IF(Timesheet!AW19="","Check","OK"))</x:f>
        <x:v>Check</x:v>
      </x:c>
      <x:c r="BZ24" s="17"/>
      <x:c r="CA24" s="17"/>
      <x:c r="CB24" s="17"/>
      <x:c r="CC24" s="17"/>
      <x:c r="CD24" s="17"/>
      <x:c r="CE24" s="17"/>
      <x:c r="CF24" s="17"/>
      <x:c r="CG24" s="51" t="s">
        <x:v>112</x:v>
      </x:c>
    </x:row>
    <x:row r="25" ht="36.75" customHeight="1">
      <x:c r="B25" s="23"/>
      <x:c r="C25" s="15" t="s">
        <x:v>113</x:v>
      </x:c>
      <x:c r="D25" s="90" t="s">
        <x:v>114</x:v>
      </x:c>
      <x:c r="E25" s="90"/>
      <x:c r="F25" s="90"/>
      <x:c r="G25" s="90"/>
      <x:c r="H25" s="91"/>
      <x:c r="I25" s="17"/>
      <x:c r="J25" s="255"/>
      <x:c r="K25" s="255"/>
      <x:c r="L25" s="95"/>
      <x:c r="M25" s="96"/>
      <x:c r="N25" s="96"/>
      <x:c r="O25" s="97"/>
      <x:c r="P25" s="197" t="s">
        <x:v>113</x:v>
      </x:c>
      <x:c r="Q25" s="198"/>
      <x:c r="R25" s="95"/>
      <x:c r="S25" s="96"/>
      <x:c r="T25" s="96"/>
      <x:c r="U25" s="97"/>
      <x:c r="V25" s="95"/>
      <x:c r="W25" s="96"/>
      <x:c r="X25" s="96"/>
      <x:c r="Y25" s="97"/>
      <x:c r="Z25" s="95"/>
      <x:c r="AA25" s="96"/>
      <x:c r="AB25" s="96"/>
      <x:c r="AC25" s="97"/>
      <x:c r="AD25" s="95"/>
      <x:c r="AE25" s="96"/>
      <x:c r="AF25" s="96"/>
      <x:c r="AG25" s="97"/>
      <x:c r="AH25" s="69"/>
      <x:c r="AI25" s="168"/>
      <x:c r="AJ25" s="169"/>
      <x:c r="AK25" s="169"/>
      <x:c r="AL25" s="170"/>
      <x:c r="AM25" s="73" t="str">
        <x:f t="shared" si="1"/>
      </x:c>
      <x:c r="AN25" s="155"/>
      <x:c r="AO25" s="156"/>
      <x:c r="AP25" s="147"/>
      <x:c r="AQ25" s="148"/>
      <x:c r="AR25" s="149"/>
      <x:c r="AS25" s="243"/>
      <x:c r="AT25" s="212"/>
      <x:c r="AU25" s="211"/>
      <x:c r="AV25" s="212"/>
      <x:c r="AW25" s="211"/>
      <x:c r="AX25" s="213"/>
      <x:c r="AY25" s="111"/>
      <x:c r="AZ25" s="112"/>
      <x:c r="BA25" s="214"/>
      <x:c r="BB25" s="215"/>
      <x:c r="BC25" s="214"/>
      <x:c r="BD25" s="215"/>
      <x:c r="BE25" s="202"/>
      <x:c r="BF25" s="203"/>
      <x:c r="BG25" s="203"/>
      <x:c r="BH25" s="203"/>
      <x:c r="BI25" s="203"/>
      <x:c r="BJ25" s="203"/>
      <x:c r="BK25" s="203"/>
      <x:c r="BL25" s="204"/>
      <x:c r="BM25" s="22"/>
      <x:c r="BP25" s="276"/>
      <x:c r="BQ25" s="276"/>
      <x:c r="BR25" s="50" t="str">
        <x:f>IF(Timesheet!L20="","No Data",Timesheet!L20)</x:f>
        <x:v>No Data</x:v>
      </x:c>
      <x:c r="BS25" s="50" t="str">
        <x:f>IF(Timesheet!M20="","No Data",Timesheet!M20)</x:f>
        <x:v>No Data</x:v>
      </x:c>
      <x:c r="BT25" s="50" t="str">
        <x:f>IF(Timesheet!N20="","No Data",Timesheet!N20)</x:f>
        <x:v>No Data</x:v>
      </x:c>
      <x:c r="BU25" s="50" t="str">
        <x:f>IF(Timesheet!O20="","No Data",Timesheet!O20)</x:f>
        <x:v>No Data</x:v>
      </x:c>
      <x:c r="BV25" s="50" t="str">
        <x:f>IF(BR25="No Data","OK",IF(Timesheet!AS20="","Check","OK"))</x:f>
        <x:v>OK</x:v>
      </x:c>
      <x:c r="BW25" s="50" t="str">
        <x:f>IF(BR25="No Data","OK",IF(Timesheet!AU20="","Check","OK"))</x:f>
        <x:v>OK</x:v>
      </x:c>
      <x:c r="BX25" s="50" t="str">
        <x:f>IF(BR25="No Data","OK",IF(Timesheet!AW20="","Check","OK"))</x:f>
        <x:v>OK</x:v>
      </x:c>
      <x:c r="BZ25" s="17"/>
      <x:c r="CA25" s="17"/>
      <x:c r="CB25" s="17"/>
      <x:c r="CC25" s="17"/>
      <x:c r="CD25" s="17"/>
      <x:c r="CE25" s="17"/>
      <x:c r="CF25" s="17"/>
      <x:c r="CG25" s="51" t="s">
        <x:v>115</x:v>
      </x:c>
    </x:row>
    <x:row r="26" ht="36.75" customHeight="1">
      <x:c r="B26" s="23"/>
      <x:c r="C26" s="15" t="s">
        <x:v>116</x:v>
      </x:c>
      <x:c r="D26" s="90" t="s">
        <x:v>117</x:v>
      </x:c>
      <x:c r="E26" s="90"/>
      <x:c r="F26" s="90"/>
      <x:c r="G26" s="90"/>
      <x:c r="H26" s="91"/>
      <x:c r="I26" s="17"/>
      <x:c r="J26" s="256"/>
      <x:c r="K26" s="256"/>
      <x:c r="L26" s="98"/>
      <x:c r="M26" s="99"/>
      <x:c r="N26" s="99"/>
      <x:c r="O26" s="100"/>
      <x:c r="P26" s="195"/>
      <x:c r="Q26" s="196"/>
      <x:c r="R26" s="98"/>
      <x:c r="S26" s="99"/>
      <x:c r="T26" s="99"/>
      <x:c r="U26" s="100"/>
      <x:c r="V26" s="98"/>
      <x:c r="W26" s="99"/>
      <x:c r="X26" s="99"/>
      <x:c r="Y26" s="100"/>
      <x:c r="Z26" s="98"/>
      <x:c r="AA26" s="99"/>
      <x:c r="AB26" s="99"/>
      <x:c r="AC26" s="100"/>
      <x:c r="AD26" s="98"/>
      <x:c r="AE26" s="99"/>
      <x:c r="AF26" s="99"/>
      <x:c r="AG26" s="100"/>
      <x:c r="AH26" s="71"/>
      <x:c r="AI26" s="141"/>
      <x:c r="AJ26" s="142"/>
      <x:c r="AK26" s="142"/>
      <x:c r="AL26" s="143"/>
      <x:c r="AM26" s="72" t="str">
        <x:f t="shared" si="1"/>
      </x:c>
      <x:c r="AN26" s="153"/>
      <x:c r="AO26" s="154"/>
      <x:c r="AP26" s="150"/>
      <x:c r="AQ26" s="151"/>
      <x:c r="AR26" s="152"/>
      <x:c r="AS26" s="162"/>
      <x:c r="AT26" s="163"/>
      <x:c r="AU26" s="164"/>
      <x:c r="AV26" s="163"/>
      <x:c r="AW26" s="164"/>
      <x:c r="AX26" s="165"/>
      <x:c r="AY26" s="113"/>
      <x:c r="AZ26" s="114"/>
      <x:c r="BA26" s="209"/>
      <x:c r="BB26" s="210"/>
      <x:c r="BC26" s="209"/>
      <x:c r="BD26" s="210"/>
      <x:c r="BE26" s="216"/>
      <x:c r="BF26" s="217"/>
      <x:c r="BG26" s="217"/>
      <x:c r="BH26" s="217"/>
      <x:c r="BI26" s="217"/>
      <x:c r="BJ26" s="217"/>
      <x:c r="BK26" s="217"/>
      <x:c r="BL26" s="218"/>
      <x:c r="BM26" s="22"/>
      <x:c r="BP26" s="274" t="s">
        <x:v>101</x:v>
      </x:c>
      <x:c r="BQ26" s="274">
        <x:v>4</x:v>
      </x:c>
      <x:c r="BR26" s="50" t="str">
        <x:f>IF(Timesheet!L21="","No Data",Timesheet!L21)</x:f>
        <x:v>No Data</x:v>
      </x:c>
      <x:c r="BS26" s="50" t="str">
        <x:f>IF(Timesheet!M21="","No Data",Timesheet!M21)</x:f>
        <x:v>No Data</x:v>
      </x:c>
      <x:c r="BT26" s="50" t="str">
        <x:f>IF(Timesheet!N21="","No Data",Timesheet!N21)</x:f>
        <x:v>No Data</x:v>
      </x:c>
      <x:c r="BU26" s="50" t="str">
        <x:f>IF(Timesheet!O21="","No Data",Timesheet!O21)</x:f>
        <x:v>No Data</x:v>
      </x:c>
      <x:c r="BV26" s="50" t="str">
        <x:f>IF(BR26="No Data","OK",IF(Timesheet!AS21="","Check","OK"))</x:f>
        <x:v>OK</x:v>
      </x:c>
      <x:c r="BW26" s="50" t="str">
        <x:f>IF(BR26="No Data","OK",IF(Timesheet!AU21="","Check","OK"))</x:f>
        <x:v>OK</x:v>
      </x:c>
      <x:c r="BX26" s="50" t="str">
        <x:f>IF(BR26="No Data","OK",IF(Timesheet!AW21="","Check","OK"))</x:f>
        <x:v>OK</x:v>
      </x:c>
      <x:c r="BZ26" s="17"/>
      <x:c r="CA26" s="17"/>
      <x:c r="CB26" s="17"/>
      <x:c r="CC26" s="17"/>
      <x:c r="CD26" s="17"/>
      <x:c r="CE26" s="17"/>
      <x:c r="CF26" s="17"/>
      <x:c r="CG26" s="51" t="s">
        <x:v>118</x:v>
      </x:c>
    </x:row>
    <x:row r="27" ht="36.75" customHeight="1">
      <x:c r="B27" s="23"/>
      <x:c r="C27" s="15" t="s">
        <x:v>119</x:v>
      </x:c>
      <x:c r="D27" s="90" t="s">
        <x:v>120</x:v>
      </x:c>
      <x:c r="E27" s="90"/>
      <x:c r="F27" s="90"/>
      <x:c r="G27" s="90"/>
      <x:c r="H27" s="91"/>
      <x:c r="I27" s="17"/>
      <x:c r="J27" s="254" t="s">
        <x:v>121</x:v>
      </x:c>
      <x:c r="K27" s="257">
        <x:v>6</x:v>
      </x:c>
      <x:c r="L27" s="92"/>
      <x:c r="M27" s="93"/>
      <x:c r="N27" s="93"/>
      <x:c r="O27" s="94"/>
      <x:c r="P27" s="258"/>
      <x:c r="Q27" s="259"/>
      <x:c r="R27" s="92"/>
      <x:c r="S27" s="93"/>
      <x:c r="T27" s="93"/>
      <x:c r="U27" s="94"/>
      <x:c r="V27" s="92"/>
      <x:c r="W27" s="93"/>
      <x:c r="X27" s="93"/>
      <x:c r="Y27" s="94"/>
      <x:c r="Z27" s="92"/>
      <x:c r="AA27" s="93"/>
      <x:c r="AB27" s="93"/>
      <x:c r="AC27" s="94"/>
      <x:c r="AD27" s="92"/>
      <x:c r="AE27" s="93"/>
      <x:c r="AF27" s="93"/>
      <x:c r="AG27" s="94"/>
      <x:c r="AH27" s="67"/>
      <x:c r="AI27" s="171"/>
      <x:c r="AJ27" s="172"/>
      <x:c r="AK27" s="172"/>
      <x:c r="AL27" s="173"/>
      <x:c r="AM27" s="68" t="str">
        <x:f t="shared" si="1"/>
      </x:c>
      <x:c r="AN27" s="157"/>
      <x:c r="AO27" s="158"/>
      <x:c r="AP27" s="159"/>
      <x:c r="AQ27" s="160"/>
      <x:c r="AR27" s="161"/>
      <x:c r="AS27" s="166"/>
      <x:c r="AT27" s="167"/>
      <x:c r="AU27" s="205"/>
      <x:c r="AV27" s="167"/>
      <x:c r="AW27" s="205"/>
      <x:c r="AX27" s="206"/>
      <x:c r="AY27" s="139"/>
      <x:c r="AZ27" s="140"/>
      <x:c r="BA27" s="207"/>
      <x:c r="BB27" s="208"/>
      <x:c r="BC27" s="207"/>
      <x:c r="BD27" s="208"/>
      <x:c r="BE27" s="199"/>
      <x:c r="BF27" s="200"/>
      <x:c r="BG27" s="200"/>
      <x:c r="BH27" s="200"/>
      <x:c r="BI27" s="200"/>
      <x:c r="BJ27" s="200"/>
      <x:c r="BK27" s="200"/>
      <x:c r="BL27" s="201"/>
      <x:c r="BM27" s="22"/>
      <x:c r="BP27" s="275"/>
      <x:c r="BQ27" s="275"/>
      <x:c r="BR27" s="50">
        <x:f>IF(Timesheet!L22="","No Data",Timesheet!L22)</x:f>
        <x:v>0.5</x:v>
      </x:c>
      <x:c r="BS27" s="50" t="str">
        <x:f>IF(Timesheet!M22="","No Data",Timesheet!M22)</x:f>
        <x:v>No Data</x:v>
      </x:c>
      <x:c r="BT27" s="50" t="str">
        <x:f>IF(Timesheet!N22="","No Data",Timesheet!N22)</x:f>
        <x:v>No Data</x:v>
      </x:c>
      <x:c r="BU27" s="50" t="str">
        <x:f>IF(Timesheet!O22="","No Data",Timesheet!O22)</x:f>
        <x:v>No Data</x:v>
      </x:c>
      <x:c r="BV27" s="50" t="str">
        <x:f>IF(BR27="No Data","OK",IF(Timesheet!AS22="","Check","OK"))</x:f>
        <x:v>Check</x:v>
      </x:c>
      <x:c r="BW27" s="50" t="str">
        <x:f>IF(BR27="No Data","OK",IF(Timesheet!AU22="","Check","OK"))</x:f>
        <x:v>Check</x:v>
      </x:c>
      <x:c r="BX27" s="50" t="str">
        <x:f>IF(BR27="No Data","OK",IF(Timesheet!AW22="","Check","OK"))</x:f>
        <x:v>Check</x:v>
      </x:c>
      <x:c r="BZ27" s="17"/>
      <x:c r="CA27" s="17"/>
      <x:c r="CB27" s="17"/>
      <x:c r="CC27" s="17"/>
      <x:c r="CD27" s="17"/>
      <x:c r="CE27" s="17"/>
      <x:c r="CF27" s="17"/>
      <x:c r="CG27" s="51" t="s">
        <x:v>19</x:v>
      </x:c>
    </x:row>
    <x:row r="28" ht="36.75" customHeight="1">
      <x:c r="B28" s="23"/>
      <x:c r="C28" s="15" t="s">
        <x:v>122</x:v>
      </x:c>
      <x:c r="D28" s="90" t="s">
        <x:v>123</x:v>
      </x:c>
      <x:c r="E28" s="90"/>
      <x:c r="F28" s="90"/>
      <x:c r="G28" s="90"/>
      <x:c r="H28" s="91"/>
      <x:c r="I28" s="17"/>
      <x:c r="J28" s="255"/>
      <x:c r="K28" s="255"/>
      <x:c r="L28" s="95"/>
      <x:c r="M28" s="96"/>
      <x:c r="N28" s="96"/>
      <x:c r="O28" s="97"/>
      <x:c r="P28" s="197" t="s">
        <x:v>113</x:v>
      </x:c>
      <x:c r="Q28" s="198"/>
      <x:c r="R28" s="95"/>
      <x:c r="S28" s="96"/>
      <x:c r="T28" s="96"/>
      <x:c r="U28" s="97"/>
      <x:c r="V28" s="95"/>
      <x:c r="W28" s="96"/>
      <x:c r="X28" s="96"/>
      <x:c r="Y28" s="97"/>
      <x:c r="Z28" s="95"/>
      <x:c r="AA28" s="96"/>
      <x:c r="AB28" s="96"/>
      <x:c r="AC28" s="97"/>
      <x:c r="AD28" s="95"/>
      <x:c r="AE28" s="96"/>
      <x:c r="AF28" s="96"/>
      <x:c r="AG28" s="97"/>
      <x:c r="AH28" s="69"/>
      <x:c r="AI28" s="168"/>
      <x:c r="AJ28" s="169"/>
      <x:c r="AK28" s="169"/>
      <x:c r="AL28" s="170"/>
      <x:c r="AM28" s="73" t="str">
        <x:f t="shared" si="1"/>
      </x:c>
      <x:c r="AN28" s="155"/>
      <x:c r="AO28" s="156"/>
      <x:c r="AP28" s="147"/>
      <x:c r="AQ28" s="148"/>
      <x:c r="AR28" s="149"/>
      <x:c r="AS28" s="243"/>
      <x:c r="AT28" s="212"/>
      <x:c r="AU28" s="211"/>
      <x:c r="AV28" s="212"/>
      <x:c r="AW28" s="211"/>
      <x:c r="AX28" s="213"/>
      <x:c r="AY28" s="111"/>
      <x:c r="AZ28" s="112"/>
      <x:c r="BA28" s="214"/>
      <x:c r="BB28" s="215"/>
      <x:c r="BC28" s="214"/>
      <x:c r="BD28" s="215"/>
      <x:c r="BE28" s="202"/>
      <x:c r="BF28" s="203"/>
      <x:c r="BG28" s="203"/>
      <x:c r="BH28" s="203"/>
      <x:c r="BI28" s="203"/>
      <x:c r="BJ28" s="203"/>
      <x:c r="BK28" s="203"/>
      <x:c r="BL28" s="204"/>
      <x:c r="BM28" s="22"/>
      <x:c r="BP28" s="276"/>
      <x:c r="BQ28" s="276"/>
      <x:c r="BR28" s="50" t="str">
        <x:f>IF(Timesheet!L23="","No Data",Timesheet!L23)</x:f>
        <x:v>No Data</x:v>
      </x:c>
      <x:c r="BS28" s="50" t="str">
        <x:f>IF(Timesheet!M23="","No Data",Timesheet!M23)</x:f>
        <x:v>No Data</x:v>
      </x:c>
      <x:c r="BT28" s="50" t="str">
        <x:f>IF(Timesheet!N23="","No Data",Timesheet!N23)</x:f>
        <x:v>No Data</x:v>
      </x:c>
      <x:c r="BU28" s="50" t="str">
        <x:f>IF(Timesheet!O23="","No Data",Timesheet!O23)</x:f>
        <x:v>No Data</x:v>
      </x:c>
      <x:c r="BV28" s="50" t="str">
        <x:f>IF(BR28="No Data","OK",IF(Timesheet!AS23="","Check","OK"))</x:f>
        <x:v>OK</x:v>
      </x:c>
      <x:c r="BW28" s="50" t="str">
        <x:f>IF(BR28="No Data","OK",IF(Timesheet!AU23="","Check","OK"))</x:f>
        <x:v>OK</x:v>
      </x:c>
      <x:c r="BX28" s="50" t="str">
        <x:f>IF(BR28="No Data","OK",IF(Timesheet!AW23="","Check","OK"))</x:f>
        <x:v>OK</x:v>
      </x:c>
      <x:c r="BZ28" s="17"/>
      <x:c r="CA28" s="17"/>
      <x:c r="CB28" s="17"/>
      <x:c r="CC28" s="17"/>
      <x:c r="CD28" s="17"/>
      <x:c r="CE28" s="17"/>
      <x:c r="CF28" s="17"/>
      <x:c r="CG28" s="51" t="s">
        <x:v>124</x:v>
      </x:c>
    </x:row>
    <x:row r="29" ht="36.75" customHeight="1">
      <x:c r="B29" s="23"/>
      <x:c r="C29" s="15" t="s">
        <x:v>125</x:v>
      </x:c>
      <x:c r="D29" s="90" t="s">
        <x:v>126</x:v>
      </x:c>
      <x:c r="E29" s="90"/>
      <x:c r="F29" s="90"/>
      <x:c r="G29" s="90"/>
      <x:c r="H29" s="91"/>
      <x:c r="I29" s="17"/>
      <x:c r="J29" s="256"/>
      <x:c r="K29" s="256"/>
      <x:c r="L29" s="98"/>
      <x:c r="M29" s="99"/>
      <x:c r="N29" s="99"/>
      <x:c r="O29" s="100"/>
      <x:c r="P29" s="195"/>
      <x:c r="Q29" s="196"/>
      <x:c r="R29" s="251"/>
      <x:c r="S29" s="252"/>
      <x:c r="T29" s="252"/>
      <x:c r="U29" s="253"/>
      <x:c r="V29" s="98"/>
      <x:c r="W29" s="99"/>
      <x:c r="X29" s="99"/>
      <x:c r="Y29" s="100"/>
      <x:c r="Z29" s="98"/>
      <x:c r="AA29" s="99"/>
      <x:c r="AB29" s="99"/>
      <x:c r="AC29" s="100"/>
      <x:c r="AD29" s="98"/>
      <x:c r="AE29" s="99"/>
      <x:c r="AF29" s="99"/>
      <x:c r="AG29" s="100"/>
      <x:c r="AH29" s="71"/>
      <x:c r="AI29" s="141"/>
      <x:c r="AJ29" s="142"/>
      <x:c r="AK29" s="142"/>
      <x:c r="AL29" s="143"/>
      <x:c r="AM29" s="72" t="str">
        <x:f t="shared" si="1"/>
      </x:c>
      <x:c r="AN29" s="153"/>
      <x:c r="AO29" s="154"/>
      <x:c r="AP29" s="150"/>
      <x:c r="AQ29" s="151"/>
      <x:c r="AR29" s="152"/>
      <x:c r="AS29" s="162"/>
      <x:c r="AT29" s="163"/>
      <x:c r="AU29" s="164"/>
      <x:c r="AV29" s="163"/>
      <x:c r="AW29" s="164"/>
      <x:c r="AX29" s="165"/>
      <x:c r="AY29" s="113"/>
      <x:c r="AZ29" s="114"/>
      <x:c r="BA29" s="209"/>
      <x:c r="BB29" s="210"/>
      <x:c r="BC29" s="209"/>
      <x:c r="BD29" s="210"/>
      <x:c r="BE29" s="216"/>
      <x:c r="BF29" s="217"/>
      <x:c r="BG29" s="217"/>
      <x:c r="BH29" s="217"/>
      <x:c r="BI29" s="217"/>
      <x:c r="BJ29" s="217"/>
      <x:c r="BK29" s="217"/>
      <x:c r="BL29" s="218"/>
      <x:c r="BM29" s="22"/>
      <x:c r="BP29" s="274" t="s">
        <x:v>111</x:v>
      </x:c>
      <x:c r="BQ29" s="274">
        <x:v>5</x:v>
      </x:c>
      <x:c r="BR29" s="50" t="str">
        <x:f>IF(Timesheet!L24="","No Data",Timesheet!L24)</x:f>
        <x:v>No Data</x:v>
      </x:c>
      <x:c r="BS29" s="50" t="str">
        <x:f>IF(Timesheet!M24="","No Data",Timesheet!M24)</x:f>
        <x:v>No Data</x:v>
      </x:c>
      <x:c r="BT29" s="50" t="str">
        <x:f>IF(Timesheet!N24="","No Data",Timesheet!N24)</x:f>
        <x:v>No Data</x:v>
      </x:c>
      <x:c r="BU29" s="50" t="str">
        <x:f>IF(Timesheet!O24="","No Data",Timesheet!O24)</x:f>
        <x:v>No Data</x:v>
      </x:c>
      <x:c r="BV29" s="50" t="str">
        <x:f>IF(BR29="No Data","OK",IF(Timesheet!AS24="","Check","OK"))</x:f>
        <x:v>OK</x:v>
      </x:c>
      <x:c r="BW29" s="50" t="str">
        <x:f>IF(BR29="No Data","OK",IF(Timesheet!AU24="","Check","OK"))</x:f>
        <x:v>OK</x:v>
      </x:c>
      <x:c r="BX29" s="50" t="str">
        <x:f>IF(BR29="No Data","OK",IF(Timesheet!AW24="","Check","OK"))</x:f>
        <x:v>OK</x:v>
      </x:c>
      <x:c r="BZ29" s="17"/>
      <x:c r="CA29" s="17"/>
      <x:c r="CB29" s="17"/>
      <x:c r="CC29" s="17"/>
      <x:c r="CD29" s="17"/>
      <x:c r="CE29" s="17"/>
      <x:c r="CF29" s="17"/>
      <x:c r="CG29" s="51" t="s">
        <x:v>127</x:v>
      </x:c>
    </x:row>
    <x:row r="30" ht="36.75" customHeight="1">
      <x:c r="B30" s="23"/>
      <x:c r="C30" s="14" t="s">
        <x:v>128</x:v>
      </x:c>
      <x:c r="D30" s="265" t="s">
        <x:v>129</x:v>
      </x:c>
      <x:c r="E30" s="265"/>
      <x:c r="F30" s="265"/>
      <x:c r="G30" s="265"/>
      <x:c r="H30" s="266"/>
      <x:c r="I30" s="17"/>
      <x:c r="J30" s="254" t="s">
        <x:v>130</x:v>
      </x:c>
      <x:c r="K30" s="257">
        <x:v>7</x:v>
      </x:c>
      <x:c r="L30" s="92"/>
      <x:c r="M30" s="93"/>
      <x:c r="N30" s="93"/>
      <x:c r="O30" s="94"/>
      <x:c r="P30" s="258"/>
      <x:c r="Q30" s="259"/>
      <x:c r="R30" s="92"/>
      <x:c r="S30" s="93"/>
      <x:c r="T30" s="93"/>
      <x:c r="U30" s="94"/>
      <x:c r="V30" s="92"/>
      <x:c r="W30" s="93"/>
      <x:c r="X30" s="93"/>
      <x:c r="Y30" s="94"/>
      <x:c r="Z30" s="92"/>
      <x:c r="AA30" s="93"/>
      <x:c r="AB30" s="93"/>
      <x:c r="AC30" s="94"/>
      <x:c r="AD30" s="92"/>
      <x:c r="AE30" s="93"/>
      <x:c r="AF30" s="93"/>
      <x:c r="AG30" s="94"/>
      <x:c r="AH30" s="67"/>
      <x:c r="AI30" s="125"/>
      <x:c r="AJ30" s="126"/>
      <x:c r="AK30" s="126"/>
      <x:c r="AL30" s="127"/>
      <x:c r="AM30" s="68" t="str">
        <x:f t="shared" si="1"/>
      </x:c>
      <x:c r="AN30" s="157"/>
      <x:c r="AO30" s="158"/>
      <x:c r="AP30" s="159"/>
      <x:c r="AQ30" s="160"/>
      <x:c r="AR30" s="161"/>
      <x:c r="AS30" s="166"/>
      <x:c r="AT30" s="167"/>
      <x:c r="AU30" s="205"/>
      <x:c r="AV30" s="167"/>
      <x:c r="AW30" s="205"/>
      <x:c r="AX30" s="206"/>
      <x:c r="AY30" s="139"/>
      <x:c r="AZ30" s="140"/>
      <x:c r="BA30" s="207"/>
      <x:c r="BB30" s="208"/>
      <x:c r="BC30" s="207"/>
      <x:c r="BD30" s="208"/>
      <x:c r="BE30" s="199"/>
      <x:c r="BF30" s="200"/>
      <x:c r="BG30" s="200"/>
      <x:c r="BH30" s="200"/>
      <x:c r="BI30" s="200"/>
      <x:c r="BJ30" s="200"/>
      <x:c r="BK30" s="200"/>
      <x:c r="BL30" s="201"/>
      <x:c r="BM30" s="22"/>
      <x:c r="BP30" s="275"/>
      <x:c r="BQ30" s="275"/>
      <x:c r="BR30" s="50" t="str">
        <x:f>IF(Timesheet!L25="","No Data",Timesheet!L25)</x:f>
        <x:v>No Data</x:v>
      </x:c>
      <x:c r="BS30" s="50" t="str">
        <x:f>IF(Timesheet!M25="","No Data",Timesheet!M25)</x:f>
        <x:v>No Data</x:v>
      </x:c>
      <x:c r="BT30" s="50" t="str">
        <x:f>IF(Timesheet!N25="","No Data",Timesheet!N25)</x:f>
        <x:v>No Data</x:v>
      </x:c>
      <x:c r="BU30" s="50" t="str">
        <x:f>IF(Timesheet!O25="","No Data",Timesheet!O25)</x:f>
        <x:v>No Data</x:v>
      </x:c>
      <x:c r="BV30" s="50" t="str">
        <x:f>IF(BR30="No Data","OK",IF(Timesheet!AS25="","Check","OK"))</x:f>
        <x:v>OK</x:v>
      </x:c>
      <x:c r="BW30" s="50" t="str">
        <x:f>IF(BR30="No Data","OK",IF(Timesheet!AU25="","Check","OK"))</x:f>
        <x:v>OK</x:v>
      </x:c>
      <x:c r="BX30" s="50" t="str">
        <x:f>IF(BR30="No Data","OK",IF(Timesheet!AW25="","Check","OK"))</x:f>
        <x:v>OK</x:v>
      </x:c>
    </x:row>
    <x:row r="31" ht="36.75" customHeight="1">
      <x:c r="B31" s="23"/>
      <x:c r="C31" s="15" t="s">
        <x:v>131</x:v>
      </x:c>
      <x:c r="D31" s="90" t="s">
        <x:v>132</x:v>
      </x:c>
      <x:c r="E31" s="90"/>
      <x:c r="F31" s="90"/>
      <x:c r="G31" s="90"/>
      <x:c r="H31" s="91"/>
      <x:c r="I31" s="17"/>
      <x:c r="J31" s="255"/>
      <x:c r="K31" s="255"/>
      <x:c r="L31" s="95"/>
      <x:c r="M31" s="96"/>
      <x:c r="N31" s="96"/>
      <x:c r="O31" s="97"/>
      <x:c r="P31" s="197" t="s">
        <x:v>113</x:v>
      </x:c>
      <x:c r="Q31" s="198"/>
      <x:c r="R31" s="95"/>
      <x:c r="S31" s="96"/>
      <x:c r="T31" s="96"/>
      <x:c r="U31" s="97"/>
      <x:c r="V31" s="95"/>
      <x:c r="W31" s="96"/>
      <x:c r="X31" s="96"/>
      <x:c r="Y31" s="97"/>
      <x:c r="Z31" s="95"/>
      <x:c r="AA31" s="96"/>
      <x:c r="AB31" s="96"/>
      <x:c r="AC31" s="97"/>
      <x:c r="AD31" s="95"/>
      <x:c r="AE31" s="96"/>
      <x:c r="AF31" s="96"/>
      <x:c r="AG31" s="97"/>
      <x:c r="AH31" s="69"/>
      <x:c r="AI31" s="128"/>
      <x:c r="AJ31" s="129"/>
      <x:c r="AK31" s="129"/>
      <x:c r="AL31" s="130"/>
      <x:c r="AM31" s="73" t="str">
        <x:f t="shared" si="1"/>
      </x:c>
      <x:c r="AN31" s="155"/>
      <x:c r="AO31" s="156"/>
      <x:c r="AP31" s="147"/>
      <x:c r="AQ31" s="148"/>
      <x:c r="AR31" s="149"/>
      <x:c r="AS31" s="243"/>
      <x:c r="AT31" s="212"/>
      <x:c r="AU31" s="211"/>
      <x:c r="AV31" s="212"/>
      <x:c r="AW31" s="211"/>
      <x:c r="AX31" s="213"/>
      <x:c r="AY31" s="111"/>
      <x:c r="AZ31" s="112"/>
      <x:c r="BA31" s="214"/>
      <x:c r="BB31" s="215"/>
      <x:c r="BC31" s="214"/>
      <x:c r="BD31" s="215"/>
      <x:c r="BE31" s="202"/>
      <x:c r="BF31" s="203"/>
      <x:c r="BG31" s="203"/>
      <x:c r="BH31" s="203"/>
      <x:c r="BI31" s="203"/>
      <x:c r="BJ31" s="203"/>
      <x:c r="BK31" s="203"/>
      <x:c r="BL31" s="204"/>
      <x:c r="BM31" s="22"/>
      <x:c r="BP31" s="276"/>
      <x:c r="BQ31" s="276"/>
      <x:c r="BR31" s="50" t="str">
        <x:f>IF(Timesheet!L26="","No Data",Timesheet!L26)</x:f>
        <x:v>No Data</x:v>
      </x:c>
      <x:c r="BS31" s="50" t="str">
        <x:f>IF(Timesheet!M26="","No Data",Timesheet!M26)</x:f>
        <x:v>No Data</x:v>
      </x:c>
      <x:c r="BT31" s="50" t="str">
        <x:f>IF(Timesheet!N26="","No Data",Timesheet!N26)</x:f>
        <x:v>No Data</x:v>
      </x:c>
      <x:c r="BU31" s="50" t="str">
        <x:f>IF(Timesheet!O26="","No Data",Timesheet!O26)</x:f>
        <x:v>No Data</x:v>
      </x:c>
      <x:c r="BV31" s="50" t="str">
        <x:f>IF(BR31="No Data","OK",IF(Timesheet!AS26="","Check","OK"))</x:f>
        <x:v>OK</x:v>
      </x:c>
      <x:c r="BW31" s="50" t="str">
        <x:f>IF(BR31="No Data","OK",IF(Timesheet!AU26="","Check","OK"))</x:f>
        <x:v>OK</x:v>
      </x:c>
      <x:c r="BX31" s="50" t="str">
        <x:f>IF(BR31="No Data","OK",IF(Timesheet!AW26="","Check","OK"))</x:f>
        <x:v>OK</x:v>
      </x:c>
    </x:row>
    <x:row r="32" ht="36.75" customHeight="1">
      <x:c r="B32" s="23"/>
      <x:c r="C32" s="15" t="s">
        <x:v>133</x:v>
      </x:c>
      <x:c r="D32" s="90" t="s">
        <x:v>134</x:v>
      </x:c>
      <x:c r="E32" s="90"/>
      <x:c r="F32" s="90"/>
      <x:c r="G32" s="90"/>
      <x:c r="H32" s="91"/>
      <x:c r="I32" s="17"/>
      <x:c r="J32" s="256"/>
      <x:c r="K32" s="256"/>
      <x:c r="L32" s="95"/>
      <x:c r="M32" s="96"/>
      <x:c r="N32" s="96"/>
      <x:c r="O32" s="97"/>
      <x:c r="P32" s="195"/>
      <x:c r="Q32" s="196"/>
      <x:c r="R32" s="98"/>
      <x:c r="S32" s="99"/>
      <x:c r="T32" s="99"/>
      <x:c r="U32" s="100"/>
      <x:c r="V32" s="98"/>
      <x:c r="W32" s="99"/>
      <x:c r="X32" s="99"/>
      <x:c r="Y32" s="100"/>
      <x:c r="Z32" s="98"/>
      <x:c r="AA32" s="99"/>
      <x:c r="AB32" s="99"/>
      <x:c r="AC32" s="100"/>
      <x:c r="AD32" s="98"/>
      <x:c r="AE32" s="99"/>
      <x:c r="AF32" s="99"/>
      <x:c r="AG32" s="100"/>
      <x:c r="AH32" s="71"/>
      <x:c r="AI32" s="144"/>
      <x:c r="AJ32" s="145"/>
      <x:c r="AK32" s="145"/>
      <x:c r="AL32" s="146"/>
      <x:c r="AM32" s="72" t="str">
        <x:f t="shared" si="1"/>
      </x:c>
      <x:c r="AN32" s="153"/>
      <x:c r="AO32" s="154"/>
      <x:c r="AP32" s="150"/>
      <x:c r="AQ32" s="151"/>
      <x:c r="AR32" s="152"/>
      <x:c r="AS32" s="162"/>
      <x:c r="AT32" s="163"/>
      <x:c r="AU32" s="164"/>
      <x:c r="AV32" s="163"/>
      <x:c r="AW32" s="164"/>
      <x:c r="AX32" s="165"/>
      <x:c r="AY32" s="113"/>
      <x:c r="AZ32" s="114"/>
      <x:c r="BA32" s="209"/>
      <x:c r="BB32" s="210"/>
      <x:c r="BC32" s="209"/>
      <x:c r="BD32" s="210"/>
      <x:c r="BE32" s="216"/>
      <x:c r="BF32" s="217"/>
      <x:c r="BG32" s="217"/>
      <x:c r="BH32" s="217"/>
      <x:c r="BI32" s="217"/>
      <x:c r="BJ32" s="217"/>
      <x:c r="BK32" s="217"/>
      <x:c r="BL32" s="218"/>
      <x:c r="BM32" s="22"/>
      <x:c r="BP32" s="274" t="s">
        <x:v>121</x:v>
      </x:c>
      <x:c r="BQ32" s="274">
        <x:v>6</x:v>
      </x:c>
      <x:c r="BR32" s="50" t="str">
        <x:f>IF(Timesheet!L27="","No Data",Timesheet!L27)</x:f>
        <x:v>No Data</x:v>
      </x:c>
      <x:c r="BS32" s="50" t="str">
        <x:f>IF(Timesheet!M27="","No Data",Timesheet!M27)</x:f>
        <x:v>No Data</x:v>
      </x:c>
      <x:c r="BT32" s="50" t="str">
        <x:f>IF(Timesheet!N27="","No Data",Timesheet!N27)</x:f>
        <x:v>No Data</x:v>
      </x:c>
      <x:c r="BU32" s="50" t="str">
        <x:f>IF(Timesheet!O27="","No Data",Timesheet!O27)</x:f>
        <x:v>No Data</x:v>
      </x:c>
      <x:c r="BV32" s="50" t="str">
        <x:f>IF(BR32="No Data","OK",IF(Timesheet!AS27="","Check","OK"))</x:f>
        <x:v>OK</x:v>
      </x:c>
      <x:c r="BW32" s="50" t="str">
        <x:f>IF(BR32="No Data","OK",IF(Timesheet!AU27="","Check","OK"))</x:f>
        <x:v>OK</x:v>
      </x:c>
      <x:c r="BX32" s="50" t="str">
        <x:f>IF(BR32="No Data","OK",IF(Timesheet!AW27="","Check","OK"))</x:f>
        <x:v>OK</x:v>
      </x:c>
    </x:row>
    <x:row r="33" s="52" customFormat="1" ht="48.75" customHeight="1">
      <x:c r="A33" s="6"/>
      <x:c r="B33" s="24"/>
      <x:c r="C33" s="16" t="s">
        <x:v>135</x:v>
      </x:c>
      <x:c r="D33" s="277" t="s">
        <x:v>136</x:v>
      </x:c>
      <x:c r="E33" s="277"/>
      <x:c r="F33" s="277"/>
      <x:c r="G33" s="277"/>
      <x:c r="H33" s="278"/>
      <x:c r="I33" s="18"/>
      <x:c r="J33" s="88" t="s">
        <x:v>137</x:v>
      </x:c>
      <x:c r="K33" s="89"/>
      <x:c r="L33" s="85">
        <x:f>IF(SUM(L12:L32)=0,"",SUM(L12:L32))</x:f>
        <x:v>2</x:v>
      </x:c>
      <x:c r="M33" s="86"/>
      <x:c r="N33" s="86"/>
      <x:c r="O33" s="87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248" t="s">
        <x:v>138</x:v>
      </x:c>
      <x:c r="AE33" s="249"/>
      <x:c r="AF33" s="249"/>
      <x:c r="AG33" s="250"/>
      <x:c r="AH33" s="66">
        <x:f>SUM(AH12:AH32)</x:f>
        <x:v>0</x:v>
      </x:c>
      <x:c r="AI33" s="134">
        <x:f>IF(SUM(AI12:AL32)=0,"",SUM(AI12:AL32))</x:f>
        <x:v>0.54166666666666663</x:v>
      </x:c>
      <x:c r="AJ33" s="135"/>
      <x:c r="AK33" s="135"/>
      <x:c r="AL33" s="136"/>
      <x:c r="AM33" s="65" t="str">
        <x:f t="shared" si="1"/>
        <x:v>Overtime</x:v>
      </x:c>
      <x:c r="AN33" s="18"/>
      <x:c r="AO33" s="18"/>
      <x:c r="AP33" s="18"/>
      <x:c r="AQ33" s="18"/>
      <x:c r="AR33" s="18"/>
      <x:c r="AS33" s="295" t="s">
        <x:v>139</x:v>
      </x:c>
      <x:c r="AT33" s="296"/>
      <x:c r="AU33" s="296"/>
      <x:c r="AV33" s="296"/>
      <x:c r="AW33" s="296"/>
      <x:c r="AX33" s="297"/>
      <x:c r="AY33" s="137" t="str">
        <x:f>IF(SUM(AY12:AZ32)=0,"",SUM(AY12:AZ32))</x:f>
      </x:c>
      <x:c r="AZ33" s="138"/>
      <x:c r="BA33" s="18"/>
      <x:c r="BB33" s="18"/>
      <x:c r="BC33" s="18"/>
      <x:c r="BD33" s="18"/>
      <x:c r="BE33" s="18"/>
      <x:c r="BF33" s="18"/>
      <x:c r="BG33" s="18"/>
      <x:c r="BH33" s="18"/>
      <x:c r="BI33" s="18"/>
      <x:c r="BJ33" s="18"/>
      <x:c r="BK33" s="18"/>
      <x:c r="BL33" s="18"/>
      <x:c r="BM33" s="25"/>
      <x:c r="BN33" s="6"/>
      <x:c r="BO33" s="7"/>
      <x:c r="BP33" s="275"/>
      <x:c r="BQ33" s="275"/>
      <x:c r="BR33" s="50" t="str">
        <x:f>IF(Timesheet!L28="","No Data",Timesheet!L28)</x:f>
        <x:v>No Data</x:v>
      </x:c>
      <x:c r="BS33" s="50" t="str">
        <x:f>IF(Timesheet!M28="","No Data",Timesheet!M28)</x:f>
        <x:v>No Data</x:v>
      </x:c>
      <x:c r="BT33" s="50" t="str">
        <x:f>IF(Timesheet!N28="","No Data",Timesheet!N28)</x:f>
        <x:v>No Data</x:v>
      </x:c>
      <x:c r="BU33" s="50" t="str">
        <x:f>IF(Timesheet!O28="","No Data",Timesheet!O28)</x:f>
        <x:v>No Data</x:v>
      </x:c>
      <x:c r="BV33" s="50" t="str">
        <x:f>IF(BR33="No Data","OK",IF(Timesheet!AS28="","Check","OK"))</x:f>
        <x:v>OK</x:v>
      </x:c>
      <x:c r="BW33" s="50" t="str">
        <x:f>IF(BR33="No Data","OK",IF(Timesheet!AU28="","Check","OK"))</x:f>
        <x:v>OK</x:v>
      </x:c>
      <x:c r="BX33" s="50" t="str">
        <x:f>IF(BR33="No Data","OK",IF(Timesheet!AW28="","Check","OK"))</x:f>
        <x:v>OK</x:v>
      </x:c>
      <x:c r="BY33" s="4"/>
      <x:c r="BZ33" s="4"/>
      <x:c r="CA33" s="4"/>
      <x:c r="CB33" s="4"/>
      <x:c r="CC33" s="4"/>
      <x:c r="CD33" s="4"/>
      <x:c r="CE33" s="4"/>
      <x:c r="CF33" s="4"/>
      <x:c r="CG33" s="4"/>
      <x:c r="CH33" s="7"/>
    </x:row>
    <x:row r="34" s="52" customFormat="1" ht="30" customHeight="1">
      <x:c r="A34" s="6"/>
      <x:c r="B34" s="24"/>
      <x:c r="C34" s="18"/>
      <x:c r="D34" s="18"/>
      <x:c r="E34" s="18"/>
      <x:c r="F34" s="18"/>
      <x:c r="G34" s="18"/>
      <x:c r="H34" s="18"/>
      <x:c r="I34" s="18"/>
      <x:c r="J34" s="19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18"/>
      <x:c r="AI34" s="18"/>
      <x:c r="AJ34" s="18"/>
      <x:c r="AK34" s="18"/>
      <x:c r="AL34" s="18"/>
      <x:c r="AM34" s="18"/>
      <x:c r="AN34" s="18"/>
      <x:c r="AO34" s="18"/>
      <x:c r="AP34" s="18"/>
      <x:c r="AQ34" s="18"/>
      <x:c r="AR34" s="18"/>
      <x:c r="AS34" s="18"/>
      <x:c r="AT34" s="18"/>
      <x:c r="AU34" s="18"/>
      <x:c r="AV34" s="18"/>
      <x:c r="AW34" s="18"/>
      <x:c r="AX34" s="18"/>
      <x:c r="AY34" s="18"/>
      <x:c r="AZ34" s="18"/>
      <x:c r="BA34" s="18"/>
      <x:c r="BB34" s="18"/>
      <x:c r="BC34" s="18"/>
      <x:c r="BD34" s="18"/>
      <x:c r="BE34" s="18"/>
      <x:c r="BF34" s="18"/>
      <x:c r="BG34" s="18"/>
      <x:c r="BH34" s="18"/>
      <x:c r="BI34" s="18"/>
      <x:c r="BJ34" s="18"/>
      <x:c r="BK34" s="18"/>
      <x:c r="BL34" s="18"/>
      <x:c r="BM34" s="25"/>
      <x:c r="BN34" s="6"/>
      <x:c r="BO34" s="7"/>
      <x:c r="BP34" s="276"/>
      <x:c r="BQ34" s="276"/>
      <x:c r="BR34" s="50" t="str">
        <x:f>IF(Timesheet!L29="","No Data",Timesheet!L29)</x:f>
        <x:v>No Data</x:v>
      </x:c>
      <x:c r="BS34" s="50" t="str">
        <x:f>IF(Timesheet!M29="","No Data",Timesheet!M29)</x:f>
        <x:v>No Data</x:v>
      </x:c>
      <x:c r="BT34" s="50" t="str">
        <x:f>IF(Timesheet!N29="","No Data",Timesheet!N29)</x:f>
        <x:v>No Data</x:v>
      </x:c>
      <x:c r="BU34" s="50" t="str">
        <x:f>IF(Timesheet!O29="","No Data",Timesheet!O29)</x:f>
        <x:v>No Data</x:v>
      </x:c>
      <x:c r="BV34" s="50" t="str">
        <x:f>IF(BR34="No Data","OK",IF(Timesheet!AS29="","Check","OK"))</x:f>
        <x:v>OK</x:v>
      </x:c>
      <x:c r="BW34" s="50" t="str">
        <x:f>IF(BR34="No Data","OK",IF(Timesheet!AU29="","Check","OK"))</x:f>
        <x:v>OK</x:v>
      </x:c>
      <x:c r="BX34" s="50" t="str">
        <x:f>IF(BR34="No Data","OK",IF(Timesheet!AW29="","Check","OK"))</x:f>
        <x:v>OK</x:v>
      </x:c>
      <x:c r="BY34" s="4"/>
      <x:c r="BZ34" s="4"/>
      <x:c r="CA34" s="4"/>
      <x:c r="CB34" s="4"/>
      <x:c r="CC34" s="4"/>
      <x:c r="CD34" s="4"/>
      <x:c r="CE34" s="4"/>
      <x:c r="CF34" s="4"/>
      <x:c r="CG34" s="4"/>
      <x:c r="CH34" s="7"/>
    </x:row>
    <x:row r="35" s="52" customFormat="1" ht="30" customHeight="1">
      <x:c r="A35" s="6"/>
      <x:c r="B35" s="24"/>
      <x:c r="C35" s="189" t="s">
        <x:v>140</x:v>
      </x:c>
      <x:c r="D35" s="190"/>
      <x:c r="E35" s="190"/>
      <x:c r="F35" s="191"/>
      <x:c r="G35" s="298" t="s">
        <x:v>141</x:v>
      </x:c>
      <x:c r="H35" s="299"/>
      <x:c r="I35" s="299"/>
      <x:c r="J35" s="299"/>
      <x:c r="K35" s="299"/>
      <x:c r="L35" s="299"/>
      <x:c r="M35" s="299"/>
      <x:c r="N35" s="300"/>
      <x:c r="O35" s="177" t="s">
        <x:v>142</x:v>
      </x:c>
      <x:c r="P35" s="178"/>
      <x:c r="Q35" s="178"/>
      <x:c r="R35" s="178"/>
      <x:c r="S35" s="178"/>
      <x:c r="T35" s="179"/>
      <x:c r="U35" s="18"/>
      <x:c r="V35" s="189" t="s">
        <x:v>143</x:v>
      </x:c>
      <x:c r="W35" s="190"/>
      <x:c r="X35" s="190"/>
      <x:c r="Y35" s="191"/>
      <x:c r="Z35" s="183"/>
      <x:c r="AA35" s="184"/>
      <x:c r="AB35" s="184"/>
      <x:c r="AC35" s="184"/>
      <x:c r="AD35" s="184"/>
      <x:c r="AE35" s="184"/>
      <x:c r="AF35" s="184"/>
      <x:c r="AG35" s="184"/>
      <x:c r="AH35" s="184"/>
      <x:c r="AI35" s="185"/>
      <x:c r="AJ35" s="177" t="s">
        <x:v>144</x:v>
      </x:c>
      <x:c r="AK35" s="178"/>
      <x:c r="AL35" s="178"/>
      <x:c r="AM35" s="178"/>
      <x:c r="AN35" s="178"/>
      <x:c r="AO35" s="178"/>
      <x:c r="AP35" s="179"/>
      <x:c r="AQ35" s="19"/>
      <x:c r="AR35" s="19"/>
      <x:c r="AS35" s="289" t="s">
        <x:v>145</x:v>
      </x:c>
      <x:c r="AT35" s="290"/>
      <x:c r="AU35" s="290"/>
      <x:c r="AV35" s="290"/>
      <x:c r="AW35" s="290"/>
      <x:c r="AX35" s="290"/>
      <x:c r="AY35" s="290"/>
      <x:c r="AZ35" s="290"/>
      <x:c r="BA35" s="290"/>
      <x:c r="BB35" s="290"/>
      <x:c r="BC35" s="290"/>
      <x:c r="BD35" s="290"/>
      <x:c r="BE35" s="290"/>
      <x:c r="BF35" s="290"/>
      <x:c r="BG35" s="290"/>
      <x:c r="BH35" s="290"/>
      <x:c r="BI35" s="290"/>
      <x:c r="BJ35" s="290"/>
      <x:c r="BK35" s="290"/>
      <x:c r="BL35" s="291"/>
      <x:c r="BM35" s="25"/>
      <x:c r="BN35" s="6"/>
      <x:c r="BO35" s="7"/>
      <x:c r="BP35" s="274" t="s">
        <x:v>130</x:v>
      </x:c>
      <x:c r="BQ35" s="274">
        <x:v>7</x:v>
      </x:c>
      <x:c r="BR35" s="50" t="str">
        <x:f>IF(Timesheet!L30="","No Data",Timesheet!L30)</x:f>
        <x:v>No Data</x:v>
      </x:c>
      <x:c r="BS35" s="50" t="str">
        <x:f>IF(Timesheet!M30="","No Data",Timesheet!M30)</x:f>
        <x:v>No Data</x:v>
      </x:c>
      <x:c r="BT35" s="50" t="str">
        <x:f>IF(Timesheet!N30="","No Data",Timesheet!N30)</x:f>
        <x:v>No Data</x:v>
      </x:c>
      <x:c r="BU35" s="50" t="str">
        <x:f>IF(Timesheet!O30="","No Data",Timesheet!O30)</x:f>
        <x:v>No Data</x:v>
      </x:c>
      <x:c r="BV35" s="50" t="str">
        <x:f>IF(BR35="No Data","OK",IF(Timesheet!AS30="","Check","OK"))</x:f>
        <x:v>OK</x:v>
      </x:c>
      <x:c r="BW35" s="50" t="str">
        <x:f>IF(BR35="No Data","OK",IF(Timesheet!AU30="","Check","OK"))</x:f>
        <x:v>OK</x:v>
      </x:c>
      <x:c r="BX35" s="50" t="str">
        <x:f>IF(BR35="No Data","OK",IF(Timesheet!AW30="","Check","OK"))</x:f>
        <x:v>OK</x:v>
      </x:c>
      <x:c r="BY35" s="4"/>
      <x:c r="BZ35" s="4"/>
      <x:c r="CA35" s="4"/>
      <x:c r="CB35" s="4"/>
      <x:c r="CC35" s="4"/>
      <x:c r="CD35" s="4"/>
      <x:c r="CE35" s="4"/>
      <x:c r="CF35" s="4"/>
      <x:c r="CG35" s="4"/>
      <x:c r="CH35" s="7"/>
    </x:row>
    <x:row r="36" s="52" customFormat="1" ht="30" customHeight="1">
      <x:c r="A36" s="6"/>
      <x:c r="B36" s="24"/>
      <x:c r="C36" s="192"/>
      <x:c r="D36" s="193"/>
      <x:c r="E36" s="193"/>
      <x:c r="F36" s="194"/>
      <x:c r="G36" s="301"/>
      <x:c r="H36" s="302"/>
      <x:c r="I36" s="302"/>
      <x:c r="J36" s="302"/>
      <x:c r="K36" s="302"/>
      <x:c r="L36" s="302"/>
      <x:c r="M36" s="302"/>
      <x:c r="N36" s="303"/>
      <x:c r="O36" s="180"/>
      <x:c r="P36" s="181"/>
      <x:c r="Q36" s="181"/>
      <x:c r="R36" s="181"/>
      <x:c r="S36" s="181"/>
      <x:c r="T36" s="182"/>
      <x:c r="U36" s="18"/>
      <x:c r="V36" s="192"/>
      <x:c r="W36" s="193"/>
      <x:c r="X36" s="193"/>
      <x:c r="Y36" s="194"/>
      <x:c r="Z36" s="186"/>
      <x:c r="AA36" s="187"/>
      <x:c r="AB36" s="187"/>
      <x:c r="AC36" s="187"/>
      <x:c r="AD36" s="187"/>
      <x:c r="AE36" s="187"/>
      <x:c r="AF36" s="187"/>
      <x:c r="AG36" s="187"/>
      <x:c r="AH36" s="187"/>
      <x:c r="AI36" s="188"/>
      <x:c r="AJ36" s="180"/>
      <x:c r="AK36" s="181"/>
      <x:c r="AL36" s="181"/>
      <x:c r="AM36" s="181"/>
      <x:c r="AN36" s="181"/>
      <x:c r="AO36" s="181"/>
      <x:c r="AP36" s="182"/>
      <x:c r="AQ36" s="19"/>
      <x:c r="AR36" s="19"/>
      <x:c r="AS36" s="292"/>
      <x:c r="AT36" s="293"/>
      <x:c r="AU36" s="293"/>
      <x:c r="AV36" s="293"/>
      <x:c r="AW36" s="293"/>
      <x:c r="AX36" s="293"/>
      <x:c r="AY36" s="293"/>
      <x:c r="AZ36" s="293"/>
      <x:c r="BA36" s="293"/>
      <x:c r="BB36" s="293"/>
      <x:c r="BC36" s="293"/>
      <x:c r="BD36" s="293"/>
      <x:c r="BE36" s="293"/>
      <x:c r="BF36" s="293"/>
      <x:c r="BG36" s="293"/>
      <x:c r="BH36" s="293"/>
      <x:c r="BI36" s="293"/>
      <x:c r="BJ36" s="293"/>
      <x:c r="BK36" s="293"/>
      <x:c r="BL36" s="294"/>
      <x:c r="BM36" s="25"/>
      <x:c r="BN36" s="6"/>
      <x:c r="BO36" s="7"/>
      <x:c r="BP36" s="275"/>
      <x:c r="BQ36" s="275"/>
      <x:c r="BR36" s="50" t="str">
        <x:f>IF(Timesheet!L31="","No Data",Timesheet!L31)</x:f>
        <x:v>No Data</x:v>
      </x:c>
      <x:c r="BS36" s="50" t="str">
        <x:f>IF(Timesheet!M31="","No Data",Timesheet!M31)</x:f>
        <x:v>No Data</x:v>
      </x:c>
      <x:c r="BT36" s="50" t="str">
        <x:f>IF(Timesheet!N31="","No Data",Timesheet!N31)</x:f>
        <x:v>No Data</x:v>
      </x:c>
      <x:c r="BU36" s="50" t="str">
        <x:f>IF(Timesheet!O31="","No Data",Timesheet!O31)</x:f>
        <x:v>No Data</x:v>
      </x:c>
      <x:c r="BV36" s="50" t="str">
        <x:f>IF(BR36="No Data","OK",IF(Timesheet!AS31="","Check","OK"))</x:f>
        <x:v>OK</x:v>
      </x:c>
      <x:c r="BW36" s="50" t="str">
        <x:f>IF(BR36="No Data","OK",IF(Timesheet!AU31="","Check","OK"))</x:f>
        <x:v>OK</x:v>
      </x:c>
      <x:c r="BX36" s="50" t="str">
        <x:f>IF(BR36="No Data","OK",IF(Timesheet!AW31="","Check","OK"))</x:f>
        <x:v>OK</x:v>
      </x:c>
      <x:c r="BY36" s="4"/>
      <x:c r="BZ36" s="4"/>
      <x:c r="CA36" s="4"/>
      <x:c r="CB36" s="4"/>
      <x:c r="CC36" s="4"/>
      <x:c r="CD36" s="4"/>
      <x:c r="CE36" s="4"/>
      <x:c r="CF36" s="4"/>
      <x:c r="CG36" s="4"/>
      <x:c r="CH36" s="7"/>
    </x:row>
    <x:row r="37" ht="18.75" customHeight="1">
      <x:c r="B37" s="26"/>
      <x:c r="C37" s="60"/>
      <x:c r="D37" s="60"/>
      <x:c r="E37" s="60"/>
      <x:c r="F37" s="60"/>
      <x:c r="G37" s="84"/>
      <x:c r="H37" s="60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  <x:c r="AC37" s="27"/>
      <x:c r="AD37" s="27"/>
      <x:c r="AE37" s="27"/>
      <x:c r="AF37" s="27"/>
      <x:c r="AG37" s="27"/>
      <x:c r="AH37" s="27"/>
      <x:c r="AI37" s="27"/>
      <x:c r="AJ37" s="27"/>
      <x:c r="AK37" s="27"/>
      <x:c r="AL37" s="27"/>
      <x:c r="AM37" s="27"/>
      <x:c r="AN37" s="27"/>
      <x:c r="AO37" s="27"/>
      <x:c r="AP37" s="27"/>
      <x:c r="AQ37" s="27"/>
      <x:c r="AR37" s="27"/>
      <x:c r="AS37" s="27"/>
      <x:c r="AT37" s="27"/>
      <x:c r="AU37" s="27"/>
      <x:c r="AV37" s="27"/>
      <x:c r="AW37" s="27"/>
      <x:c r="AX37" s="27"/>
      <x:c r="AY37" s="27"/>
      <x:c r="AZ37" s="27"/>
      <x:c r="BA37" s="27"/>
      <x:c r="BB37" s="27"/>
      <x:c r="BC37" s="27"/>
      <x:c r="BD37" s="27"/>
      <x:c r="BE37" s="27"/>
      <x:c r="BF37" s="27"/>
      <x:c r="BG37" s="27"/>
      <x:c r="BH37" s="27"/>
      <x:c r="BI37" s="27"/>
      <x:c r="BJ37" s="27"/>
      <x:c r="BK37" s="27"/>
      <x:c r="BL37" s="27"/>
      <x:c r="BM37" s="28"/>
      <x:c r="BP37" s="276"/>
      <x:c r="BQ37" s="276"/>
      <x:c r="BR37" s="50" t="str">
        <x:f>IF(Timesheet!L32="","No Data",Timesheet!L32)</x:f>
        <x:v>No Data</x:v>
      </x:c>
      <x:c r="BS37" s="50" t="str">
        <x:f>IF(Timesheet!M32="","No Data",Timesheet!M32)</x:f>
        <x:v>No Data</x:v>
      </x:c>
      <x:c r="BT37" s="50" t="str">
        <x:f>IF(Timesheet!N32="","No Data",Timesheet!N32)</x:f>
        <x:v>No Data</x:v>
      </x:c>
      <x:c r="BU37" s="50" t="str">
        <x:f>IF(Timesheet!O32="","No Data",Timesheet!O32)</x:f>
        <x:v>No Data</x:v>
      </x:c>
      <x:c r="BV37" s="50" t="str">
        <x:f>IF(BR37="No Data","OK",IF(Timesheet!AS32="","Check","OK"))</x:f>
        <x:v>OK</x:v>
      </x:c>
      <x:c r="BW37" s="50" t="str">
        <x:f>IF(BR37="No Data","OK",IF(Timesheet!AU32="","Check","OK"))</x:f>
        <x:v>OK</x:v>
      </x:c>
      <x:c r="BX37" s="50" t="str">
        <x:f>IF(BR37="No Data","OK",IF(Timesheet!AW32="","Check","OK"))</x:f>
        <x:v>OK</x:v>
      </x:c>
    </x:row>
    <x:row r="38" s="1" customFormat="1" ht="18" customHeight="1">
      <x:c r="BO38" s="13"/>
      <x:c r="BP38" s="13"/>
      <x:c r="BQ38" s="13"/>
      <x:c r="BR38" s="13"/>
      <x:c r="BS38" s="13"/>
      <x:c r="BT38" s="13"/>
      <x:c r="BU38" s="13"/>
      <x:c r="BV38" s="13"/>
      <x:c r="BW38" s="13"/>
      <x:c r="BX38" s="13"/>
      <x:c r="BY38" s="13"/>
      <x:c r="BZ38" s="13"/>
      <x:c r="CA38" s="13"/>
      <x:c r="CB38" s="13"/>
      <x:c r="CC38" s="13"/>
      <x:c r="CD38" s="13"/>
      <x:c r="CE38" s="13"/>
      <x:c r="CF38" s="13"/>
      <x:c r="CG38" s="13"/>
      <x:c r="CH38" s="13"/>
    </x:row>
    <x:row r="39" ht="15.75" hidden="1">
      <x:c r="C39" s="27"/>
      <x:c r="D39" s="27"/>
      <x:c r="E39" s="27"/>
      <x:c r="F39" s="27"/>
      <x:c r="G39" s="27"/>
      <x:c r="H39" s="27"/>
    </x:row>
    <x:row r="40" hidden="1">
      <x:c r="C40" s="1"/>
      <x:c r="D40" s="1"/>
      <x:c r="E40" s="1"/>
      <x:c r="F40" s="1"/>
      <x:c r="G40" s="1"/>
      <x:c r="H40" s="1"/>
    </x:row>
  </x:sheetData>
  <x:mergeCells>
    <x:mergeCell ref="G35:N36"/>
    <x:mergeCell ref="AP13:AR13"/>
    <x:mergeCell ref="AP14:AR14"/>
    <x:mergeCell ref="AP16:AR16"/>
    <x:mergeCell ref="BV16:BX16"/>
    <x:mergeCell ref="BZ2:CG2"/>
    <x:mergeCell ref="BQ20:BQ22"/>
    <x:mergeCell ref="BC12:BD12"/>
    <x:mergeCell ref="BC21:BD21"/>
    <x:mergeCell ref="BP2:BS2"/>
    <x:mergeCell ref="BP15:BQ16"/>
    <x:mergeCell ref="BR15:BU15"/>
    <x:mergeCell ref="BP17:BP19"/>
    <x:mergeCell ref="BQ17:BQ19"/>
    <x:mergeCell ref="BP20:BP22"/>
    <x:mergeCell ref="BC14:BD14"/>
    <x:mergeCell ref="BE16:BL16"/>
    <x:mergeCell ref="BE17:BL17"/>
    <x:mergeCell ref="BE20:BL20"/>
    <x:mergeCell ref="BE21:BL21"/>
    <x:mergeCell ref="BE22:BL22"/>
    <x:mergeCell ref="BC16:BD16"/>
    <x:mergeCell ref="BC17:BD17"/>
    <x:mergeCell ref="BC20:BD20"/>
    <x:mergeCell ref="AS35:BL36"/>
    <x:mergeCell ref="BE24:BL24"/>
    <x:mergeCell ref="BE25:BL25"/>
    <x:mergeCell ref="BE26:BL26"/>
    <x:mergeCell ref="BE27:BL27"/>
    <x:mergeCell ref="BC32:BD32"/>
    <x:mergeCell ref="AS33:AX33"/>
    <x:mergeCell ref="AS32:AT32"/>
    <x:mergeCell ref="AU32:AV32"/>
    <x:mergeCell ref="AW32:AX32"/>
    <x:mergeCell ref="BE31:BL31"/>
    <x:mergeCell ref="BE32:BL32"/>
    <x:mergeCell ref="BE28:BL28"/>
    <x:mergeCell ref="BQ35:BQ37"/>
    <x:mergeCell ref="BP23:BP25"/>
    <x:mergeCell ref="BQ23:BQ25"/>
    <x:mergeCell ref="BP29:BP31"/>
    <x:mergeCell ref="BQ29:BQ31"/>
    <x:mergeCell ref="BP32:BP34"/>
    <x:mergeCell ref="BQ32:BQ34"/>
    <x:mergeCell ref="BP26:BP28"/>
    <x:mergeCell ref="BQ26:BQ28"/>
    <x:mergeCell ref="P24:Q24"/>
    <x:mergeCell ref="P22:Q22"/>
    <x:mergeCell ref="L26:O26"/>
    <x:mergeCell ref="J24:J26"/>
    <x:mergeCell ref="K24:K26"/>
    <x:mergeCell ref="R26:U26"/>
    <x:mergeCell ref="R24:U24"/>
    <x:mergeCell ref="BC13:BD13"/>
    <x:mergeCell ref="BC15:BD15"/>
    <x:mergeCell ref="AD11:AG11"/>
    <x:mergeCell ref="D22:H22"/>
    <x:mergeCell ref="D20:H20"/>
    <x:mergeCell ref="D17:H17"/>
    <x:mergeCell ref="D18:H18"/>
    <x:mergeCell ref="D19:H19"/>
    <x:mergeCell ref="D21:H21"/>
    <x:mergeCell ref="J12:J14"/>
    <x:mergeCell ref="P18:Q18"/>
    <x:mergeCell ref="J18:J20"/>
    <x:mergeCell ref="R16:U16"/>
    <x:mergeCell ref="V15:Y15"/>
    <x:mergeCell ref="R15:U15"/>
    <x:mergeCell ref="V16:Y16"/>
    <x:mergeCell ref="P14:Q14"/>
    <x:mergeCell ref="K12:K14"/>
    <x:mergeCell ref="BP35:BP37"/>
    <x:mergeCell ref="D33:H33"/>
    <x:mergeCell ref="BA12:BB12"/>
    <x:mergeCell ref="AP12:AR12"/>
    <x:mergeCell ref="D12:H12"/>
    <x:mergeCell ref="C10:H11"/>
    <x:mergeCell ref="AN12:AO12"/>
    <x:mergeCell ref="Z10:AC10"/>
    <x:mergeCell ref="AD10:AG10"/>
    <x:mergeCell ref="BA13:BB13"/>
    <x:mergeCell ref="BA17:BB17"/>
    <x:mergeCell ref="BA16:BB16"/>
    <x:mergeCell ref="AI10:AL10"/>
    <x:mergeCell ref="AN10:AO11"/>
    <x:mergeCell ref="AN19:AO19"/>
    <x:mergeCell ref="AP30:AR30"/>
    <x:mergeCell ref="J10:K11"/>
    <x:mergeCell ref="V12:Y12"/>
    <x:mergeCell ref="V13:Y13"/>
    <x:mergeCell ref="V14:Y14"/>
    <x:mergeCell ref="R12:U12"/>
    <x:mergeCell ref="R13:U13"/>
    <x:mergeCell ref="R14:U14"/>
    <x:mergeCell ref="L14:O14"/>
    <x:mergeCell ref="C6:F6"/>
    <x:mergeCell ref="W6:Z6"/>
    <x:mergeCell ref="C35:F36"/>
    <x:mergeCell ref="D32:H32"/>
    <x:mergeCell ref="D30:H30"/>
    <x:mergeCell ref="D13:H13"/>
    <x:mergeCell ref="D31:H31"/>
    <x:mergeCell ref="D23:H23"/>
    <x:mergeCell ref="D14:H14"/>
    <x:mergeCell ref="D16:H16"/>
    <x:mergeCell ref="Z11:AC11"/>
    <x:mergeCell ref="G6:U6"/>
    <x:mergeCell ref="R10:U10"/>
    <x:mergeCell ref="V10:Y10"/>
    <x:mergeCell ref="L11:O11"/>
    <x:mergeCell ref="R11:U11"/>
    <x:mergeCell ref="V11:Y11"/>
    <x:mergeCell ref="K18:K20"/>
    <x:mergeCell ref="L15:O15"/>
    <x:mergeCell ref="L16:O16"/>
    <x:mergeCell ref="P13:Q13"/>
    <x:mergeCell ref="P12:Q12"/>
    <x:mergeCell ref="L12:O12"/>
    <x:mergeCell ref="L13:O13"/>
    <x:mergeCell ref="L10:O10"/>
    <x:mergeCell ref="P10:Q11"/>
    <x:mergeCell ref="J15:J17"/>
    <x:mergeCell ref="K15:K17"/>
    <x:mergeCell ref="P15:Q15"/>
    <x:mergeCell ref="P16:Q16"/>
    <x:mergeCell ref="P20:Q20"/>
    <x:mergeCell ref="P19:Q19"/>
    <x:mergeCell ref="P21:Q21"/>
    <x:mergeCell ref="L17:O17"/>
    <x:mergeCell ref="L18:O18"/>
    <x:mergeCell ref="P17:Q17"/>
    <x:mergeCell ref="J21:J23"/>
    <x:mergeCell ref="K21:K23"/>
    <x:mergeCell ref="P23:Q23"/>
    <x:mergeCell ref="L23:O23"/>
    <x:mergeCell ref="L21:O21"/>
    <x:mergeCell ref="L22:O22"/>
    <x:mergeCell ref="P31:Q31"/>
    <x:mergeCell ref="P29:Q29"/>
    <x:mergeCell ref="J30:J32"/>
    <x:mergeCell ref="J27:J29"/>
    <x:mergeCell ref="K27:K29"/>
    <x:mergeCell ref="P27:Q27"/>
    <x:mergeCell ref="P28:Q28"/>
    <x:mergeCell ref="K30:K32"/>
    <x:mergeCell ref="P32:Q32"/>
    <x:mergeCell ref="L27:O27"/>
    <x:mergeCell ref="P30:Q30"/>
    <x:mergeCell ref="L28:O28"/>
    <x:mergeCell ref="L29:O29"/>
    <x:mergeCell ref="AD33:AG33"/>
    <x:mergeCell ref="R29:U29"/>
    <x:mergeCell ref="R30:U30"/>
    <x:mergeCell ref="R31:U31"/>
    <x:mergeCell ref="R32:U32"/>
    <x:mergeCell ref="V26:Y26"/>
    <x:mergeCell ref="V27:Y27"/>
    <x:mergeCell ref="V28:Y28"/>
    <x:mergeCell ref="V29:Y29"/>
    <x:mergeCell ref="AD30:AG30"/>
    <x:mergeCell ref="AD31:AG31"/>
    <x:mergeCell ref="AD28:AG28"/>
    <x:mergeCell ref="AD29:AG29"/>
    <x:mergeCell ref="Z29:AC29"/>
    <x:mergeCell ref="Z30:AC30"/>
    <x:mergeCell ref="Z31:AC31"/>
    <x:mergeCell ref="Z32:AC32"/>
    <x:mergeCell ref="AD32:AG32"/>
    <x:mergeCell ref="R25:U25"/>
    <x:mergeCell ref="V24:Y24"/>
    <x:mergeCell ref="V25:Y25"/>
    <x:mergeCell ref="Z23:AC23"/>
    <x:mergeCell ref="Z24:AC24"/>
    <x:mergeCell ref="R17:U17"/>
    <x:mergeCell ref="R18:U18"/>
    <x:mergeCell ref="R19:U19"/>
    <x:mergeCell ref="R20:U20"/>
    <x:mergeCell ref="R21:U21"/>
    <x:mergeCell ref="R22:U22"/>
    <x:mergeCell ref="R23:U23"/>
    <x:mergeCell ref="V20:Y20"/>
    <x:mergeCell ref="V21:Y21"/>
    <x:mergeCell ref="V22:Y22"/>
    <x:mergeCell ref="V23:Y23"/>
    <x:mergeCell ref="V17:Y17"/>
    <x:mergeCell ref="V18:Y18"/>
    <x:mergeCell ref="V19:Y19"/>
    <x:mergeCell ref="AN14:AO14"/>
    <x:mergeCell ref="AN15:AO15"/>
    <x:mergeCell ref="AN16:AO16"/>
    <x:mergeCell ref="AW19:AX19"/>
    <x:mergeCell ref="AS21:AT21"/>
    <x:mergeCell ref="AU21:AV21"/>
    <x:mergeCell ref="AW21:AX21"/>
    <x:mergeCell ref="AN17:AO17"/>
    <x:mergeCell ref="AN18:AO18"/>
    <x:mergeCell ref="AP15:AR15"/>
    <x:mergeCell ref="AU15:AV15"/>
    <x:mergeCell ref="AW15:AX15"/>
    <x:mergeCell ref="AW16:AX16"/>
    <x:mergeCell ref="AS25:AT25"/>
    <x:mergeCell ref="AS24:AT24"/>
    <x:mergeCell ref="AU24:AV24"/>
    <x:mergeCell ref="AW24:AX24"/>
    <x:mergeCell ref="AS23:AT23"/>
    <x:mergeCell ref="AU23:AV23"/>
    <x:mergeCell ref="AW23:AX23"/>
    <x:mergeCell ref="AS22:AT22"/>
    <x:mergeCell ref="AU22:AV22"/>
    <x:mergeCell ref="AW22:AX22"/>
    <x:mergeCell ref="AY19:AZ19"/>
    <x:mergeCell ref="AS20:AT20"/>
    <x:mergeCell ref="AU20:AV20"/>
    <x:mergeCell ref="AW20:AX20"/>
    <x:mergeCell ref="BA20:BB20"/>
    <x:mergeCell ref="AY20:AZ20"/>
    <x:mergeCell ref="AS12:AT12"/>
    <x:mergeCell ref="AS13:AT13"/>
    <x:mergeCell ref="AU12:AV12"/>
    <x:mergeCell ref="AW13:AX13"/>
    <x:mergeCell ref="AU13:AV13"/>
    <x:mergeCell ref="AS14:AT14"/>
    <x:mergeCell ref="AS15:AT15"/>
    <x:mergeCell ref="AW12:AX12"/>
    <x:mergeCell ref="BA15:BB15"/>
    <x:mergeCell ref="AY16:AZ16"/>
    <x:mergeCell ref="BA19:BB19"/>
    <x:mergeCell ref="BE12:BL12"/>
    <x:mergeCell ref="BE13:BL13"/>
    <x:mergeCell ref="BE14:BL14"/>
    <x:mergeCell ref="BE15:BL15"/>
    <x:mergeCell ref="BC18:BD18"/>
    <x:mergeCell ref="AS19:AT19"/>
    <x:mergeCell ref="AU19:AV19"/>
    <x:mergeCell ref="BA14:BB14"/>
    <x:mergeCell ref="AW14:AX14"/>
    <x:mergeCell ref="AU14:AV14"/>
    <x:mergeCell ref="AY12:AZ12"/>
    <x:mergeCell ref="AY13:AZ13"/>
    <x:mergeCell ref="AY14:AZ14"/>
    <x:mergeCell ref="AY15:AZ15"/>
    <x:mergeCell ref="AS17:AT17"/>
    <x:mergeCell ref="AU17:AV17"/>
    <x:mergeCell ref="AW17:AX17"/>
    <x:mergeCell ref="AY17:AZ17"/>
    <x:mergeCell ref="AS16:AT16"/>
    <x:mergeCell ref="AU16:AV16"/>
    <x:mergeCell ref="AS18:AT18"/>
    <x:mergeCell ref="AU18:AV18"/>
    <x:mergeCell ref="AW18:AX18"/>
    <x:mergeCell ref="BA18:BB18"/>
    <x:mergeCell ref="AS31:AT31"/>
    <x:mergeCell ref="AU31:AV31"/>
    <x:mergeCell ref="AW31:AX31"/>
    <x:mergeCell ref="BA31:BB31"/>
    <x:mergeCell ref="AS30:AT30"/>
    <x:mergeCell ref="AU30:AV30"/>
    <x:mergeCell ref="AW30:AX30"/>
    <x:mergeCell ref="BA30:BB30"/>
    <x:mergeCell ref="BC28:BD28"/>
    <x:mergeCell ref="AS29:AT29"/>
    <x:mergeCell ref="AU29:AV29"/>
    <x:mergeCell ref="AW29:AX29"/>
    <x:mergeCell ref="BA29:BB29"/>
    <x:mergeCell ref="BC29:BD29"/>
    <x:mergeCell ref="AS28:AT28"/>
    <x:mergeCell ref="AU28:AV28"/>
    <x:mergeCell ref="AW28:AX28"/>
    <x:mergeCell ref="BE10:BL11"/>
    <x:mergeCell ref="AP10:AR11"/>
    <x:mergeCell ref="AP8:AX9"/>
    <x:mergeCell ref="BA10:BD10"/>
    <x:mergeCell ref="BA11:BB11"/>
    <x:mergeCell ref="BC11:BD11"/>
    <x:mergeCell ref="AY10:AZ11"/>
    <x:mergeCell ref="AI11:AL11"/>
    <x:mergeCell ref="AT6:AZ6"/>
    <x:mergeCell ref="AW10:AX10"/>
    <x:mergeCell ref="AU10:AV10"/>
    <x:mergeCell ref="AS10:AT10"/>
    <x:mergeCell ref="AS11:AX11"/>
    <x:mergeCell ref="BE30:BL30"/>
    <x:mergeCell ref="BC30:BD30"/>
    <x:mergeCell ref="BC31:BD31"/>
    <x:mergeCell ref="AY30:AZ30"/>
    <x:mergeCell ref="AY31:AZ31"/>
    <x:mergeCell ref="AY32:AZ32"/>
    <x:mergeCell ref="BA32:BB32"/>
    <x:mergeCell ref="BA28:BB28"/>
    <x:mergeCell ref="BC26:BD26"/>
    <x:mergeCell ref="BE29:BL29"/>
    <x:mergeCell ref="AP28:AR28"/>
    <x:mergeCell ref="AP17:AR17"/>
    <x:mergeCell ref="AP18:AR18"/>
    <x:mergeCell ref="AP19:AR19"/>
    <x:mergeCell ref="AP20:AR20"/>
    <x:mergeCell ref="AP23:AR23"/>
    <x:mergeCell ref="AP24:AR24"/>
    <x:mergeCell ref="AP21:AR21"/>
    <x:mergeCell ref="AP22:AR22"/>
    <x:mergeCell ref="AY25:AZ25"/>
    <x:mergeCell ref="BE18:BL18"/>
    <x:mergeCell ref="BE19:BL19"/>
    <x:mergeCell ref="AU27:AV27"/>
    <x:mergeCell ref="AW27:AX27"/>
    <x:mergeCell ref="BA27:BB27"/>
    <x:mergeCell ref="BC27:BD27"/>
    <x:mergeCell ref="BA26:BB26"/>
    <x:mergeCell ref="BC24:BD24"/>
    <x:mergeCell ref="AU25:AV25"/>
    <x:mergeCell ref="AW25:AX25"/>
    <x:mergeCell ref="BA25:BB25"/>
    <x:mergeCell ref="BC25:BD25"/>
    <x:mergeCell ref="BA23:BB23"/>
    <x:mergeCell ref="BC23:BD23"/>
    <x:mergeCell ref="BE23:BL23"/>
    <x:mergeCell ref="BA24:BB24"/>
    <x:mergeCell ref="BA21:BB21"/>
    <x:mergeCell ref="AY21:AZ21"/>
    <x:mergeCell ref="BC22:BD22"/>
    <x:mergeCell ref="AY18:AZ18"/>
    <x:mergeCell ref="BA22:BB22"/>
    <x:mergeCell ref="AY24:AZ24"/>
    <x:mergeCell ref="BC19:BD19"/>
    <x:mergeCell ref="AD23:AG23"/>
    <x:mergeCell ref="AD19:AG19"/>
    <x:mergeCell ref="AD20:AG20"/>
    <x:mergeCell ref="AD21:AG21"/>
    <x:mergeCell ref="AD22:AG22"/>
    <x:mergeCell ref="AJ35:AP36"/>
    <x:mergeCell ref="Z35:AI36"/>
    <x:mergeCell ref="O35:T36"/>
    <x:mergeCell ref="D24:H24"/>
    <x:mergeCell ref="D26:H26"/>
    <x:mergeCell ref="D25:H25"/>
    <x:mergeCell ref="D27:H27"/>
    <x:mergeCell ref="D29:H29"/>
    <x:mergeCell ref="AP25:AR25"/>
    <x:mergeCell ref="AP26:AR26"/>
    <x:mergeCell ref="V35:Y36"/>
    <x:mergeCell ref="P26:Q26"/>
    <x:mergeCell ref="P25:Q25"/>
    <x:mergeCell ref="R27:U27"/>
    <x:mergeCell ref="R28:U28"/>
    <x:mergeCell ref="V30:Y30"/>
    <x:mergeCell ref="V31:Y31"/>
    <x:mergeCell ref="V32:Y32"/>
    <x:mergeCell ref="Z28:AC28"/>
    <x:mergeCell ref="Z12:AC12"/>
    <x:mergeCell ref="Z13:AC13"/>
    <x:mergeCell ref="Z14:AC14"/>
    <x:mergeCell ref="Z15:AC15"/>
    <x:mergeCell ref="Z16:AC16"/>
    <x:mergeCell ref="Z17:AC17"/>
    <x:mergeCell ref="Z18:AC18"/>
    <x:mergeCell ref="Z26:AC26"/>
    <x:mergeCell ref="Z27:AC27"/>
    <x:mergeCell ref="Z19:AC19"/>
    <x:mergeCell ref="Z20:AC20"/>
    <x:mergeCell ref="Z21:AC21"/>
    <x:mergeCell ref="Z22:AC22"/>
    <x:mergeCell ref="Z25:AC25"/>
    <x:mergeCell ref="AI25:AL25"/>
    <x:mergeCell ref="AI26:AL26"/>
    <x:mergeCell ref="AI27:AL27"/>
    <x:mergeCell ref="AI28:AL28"/>
    <x:mergeCell ref="AN25:AO25"/>
    <x:mergeCell ref="AN26:AO26"/>
    <x:mergeCell ref="AD24:AG24"/>
    <x:mergeCell ref="AD25:AG25"/>
    <x:mergeCell ref="AD26:AG26"/>
    <x:mergeCell ref="AD27:AG27"/>
    <x:mergeCell ref="AI17:AL17"/>
    <x:mergeCell ref="AI18:AL18"/>
    <x:mergeCell ref="AI19:AL19"/>
    <x:mergeCell ref="AI20:AL20"/>
    <x:mergeCell ref="AN20:AO20"/>
    <x:mergeCell ref="AN21:AO21"/>
    <x:mergeCell ref="AN22:AO22"/>
    <x:mergeCell ref="AN23:AO23"/>
    <x:mergeCell ref="AN24:AO24"/>
    <x:mergeCell ref="AI21:AL21"/>
    <x:mergeCell ref="AI22:AL22"/>
    <x:mergeCell ref="AI23:AL23"/>
    <x:mergeCell ref="AI24:AL24"/>
    <x:mergeCell ref="AI33:AL33"/>
    <x:mergeCell ref="AY33:AZ33"/>
    <x:mergeCell ref="AY26:AZ26"/>
    <x:mergeCell ref="AY27:AZ27"/>
    <x:mergeCell ref="AY28:AZ28"/>
    <x:mergeCell ref="AY29:AZ29"/>
    <x:mergeCell ref="AI29:AL29"/>
    <x:mergeCell ref="AI30:AL30"/>
    <x:mergeCell ref="AI31:AL31"/>
    <x:mergeCell ref="AI32:AL32"/>
    <x:mergeCell ref="AP31:AR31"/>
    <x:mergeCell ref="AP32:AR32"/>
    <x:mergeCell ref="AN32:AO32"/>
    <x:mergeCell ref="AN31:AO31"/>
    <x:mergeCell ref="AN27:AO27"/>
    <x:mergeCell ref="AN28:AO28"/>
    <x:mergeCell ref="AN29:AO29"/>
    <x:mergeCell ref="AN30:AO30"/>
    <x:mergeCell ref="AP27:AR27"/>
    <x:mergeCell ref="AP29:AR29"/>
    <x:mergeCell ref="AS26:AT26"/>
    <x:mergeCell ref="AU26:AV26"/>
    <x:mergeCell ref="AW26:AX26"/>
    <x:mergeCell ref="AS27:AT27"/>
    <x:mergeCell ref="AT4:AZ4"/>
    <x:mergeCell ref="B2:V5"/>
    <x:mergeCell ref="W4:Z4"/>
    <x:mergeCell ref="AA4:AB4"/>
    <x:mergeCell ref="AC4:AD4"/>
    <x:mergeCell ref="AE4:AF4"/>
    <x:mergeCell ref="AG4:AI4"/>
    <x:mergeCell ref="AY22:AZ22"/>
    <x:mergeCell ref="AY23:AZ23"/>
    <x:mergeCell ref="W7:AE7"/>
    <x:mergeCell ref="AI12:AL12"/>
    <x:mergeCell ref="AI13:AL13"/>
    <x:mergeCell ref="AI14:AL14"/>
    <x:mergeCell ref="AI15:AL15"/>
    <x:mergeCell ref="AI16:AL16"/>
    <x:mergeCell ref="AD12:AG12"/>
    <x:mergeCell ref="AD13:AG13"/>
    <x:mergeCell ref="AD14:AG14"/>
    <x:mergeCell ref="AD15:AG15"/>
    <x:mergeCell ref="AD16:AG16"/>
    <x:mergeCell ref="AD17:AG17"/>
    <x:mergeCell ref="AD18:AG18"/>
    <x:mergeCell ref="AG6:AK6"/>
    <x:mergeCell ref="AN13:AO13"/>
    <x:mergeCell ref="L33:O33"/>
    <x:mergeCell ref="J33:K33"/>
    <x:mergeCell ref="D28:H28"/>
    <x:mergeCell ref="D15:H15"/>
    <x:mergeCell ref="L30:O30"/>
    <x:mergeCell ref="L31:O31"/>
    <x:mergeCell ref="L32:O32"/>
    <x:mergeCell ref="L24:O24"/>
    <x:mergeCell ref="L25:O25"/>
    <x:mergeCell ref="L19:O19"/>
    <x:mergeCell ref="L20:O20"/>
  </x:mergeCells>
  <x:conditionalFormatting sqref="G6:G6">
    <x:cfRule type="expression" dxfId="6" priority="3" stopIfTrue="1">
      <x:formula>IF(Surname_Check="Check",1,0)</x:formula>
    </x:cfRule>
  </x:conditionalFormatting>
  <x:conditionalFormatting sqref="AA6:AA6">
    <x:cfRule type="expression" dxfId="5" priority="4" stopIfTrue="1">
      <x:formula>IF(Payroll_Number_Check="Check",1,0)</x:formula>
    </x:cfRule>
  </x:conditionalFormatting>
  <x:conditionalFormatting sqref="AC4:AC4">
    <x:cfRule type="expression" dxfId="4" priority="1" stopIfTrue="1">
      <x:formula>IF(Current_Check="Check",1,0)</x:formula>
    </x:cfRule>
  </x:conditionalFormatting>
  <x:conditionalFormatting sqref="AG4:AH4">
    <x:cfRule type="expression" dxfId="3" priority="6" stopIfTrue="1">
      <x:formula>IF(Amended_Check="Check",1,0)</x:formula>
    </x:cfRule>
  </x:conditionalFormatting>
  <x:conditionalFormatting sqref="AL6:AR6">
    <x:cfRule type="expression" dxfId="2" priority="5" stopIfTrue="1">
      <x:formula>IF(Cost_Centre_Check="Check",1,0)</x:formula>
    </x:cfRule>
  </x:conditionalFormatting>
  <x:conditionalFormatting sqref="BA4:BB4">
    <x:cfRule type="expression" dxfId="1" priority="2" stopIfTrue="1">
      <x:formula>IF(Week_Number_Check="Check",1,0)</x:formula>
    </x:cfRule>
  </x:conditionalFormatting>
  <x:conditionalFormatting sqref="BA6:BF6">
    <x:cfRule type="expression" dxfId="0" priority="7" stopIfTrue="1">
      <x:formula>IF(Week_Ending_Check="Check",1,0)</x:formula>
    </x:cfRule>
  </x:conditionalFormatting>
  <x:pageMargins left="0.7" right="0.7" top="0.75" bottom="0.75" header="0.3" footer="0.3"/>
  <x:drawing xmlns:r="http://schemas.openxmlformats.org/officeDocument/2006/relationships" r:id="Rc86d9458a45f45b5"/>
  <x:legacyDrawing xmlns:r="http://schemas.openxmlformats.org/officeDocument/2006/relationships" r:id="R57572f80fc784592"/>
</x:worksheet>
</file>